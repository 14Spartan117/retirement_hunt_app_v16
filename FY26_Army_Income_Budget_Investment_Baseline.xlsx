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mo\Downloads\"/>
    </mc:Choice>
  </mc:AlternateContent>
  <xr:revisionPtr revIDLastSave="0" documentId="13_ncr:1_{06EF2037-BD78-4E84-899C-2DA5F4B3A96E}" xr6:coauthVersionLast="47" xr6:coauthVersionMax="47" xr10:uidLastSave="{00000000-0000-0000-0000-000000000000}"/>
  <bookViews>
    <workbookView xWindow="-90" yWindow="-90" windowWidth="19380" windowHeight="10260" xr2:uid="{B4C9DDE9-3959-4577-AAC4-DAEB718B12BA}"/>
  </bookViews>
  <sheets>
    <sheet name="Stacking Bread" sheetId="1" r:id="rId1"/>
    <sheet name="Sheet1" sheetId="7" r:id="rId2"/>
    <sheet name="Rental House Quick Assessm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 s="1"/>
  <c r="I5" i="1"/>
  <c r="I6" i="1" s="1"/>
  <c r="B18" i="1"/>
  <c r="V6" i="1"/>
  <c r="U6" i="1"/>
  <c r="T6" i="1"/>
  <c r="S6" i="1"/>
  <c r="R6" i="1"/>
  <c r="Q6" i="1"/>
  <c r="P6" i="1"/>
  <c r="O6" i="1"/>
  <c r="N6" i="1"/>
  <c r="M6" i="1"/>
  <c r="L6" i="1"/>
  <c r="J6" i="1"/>
  <c r="H6" i="1"/>
  <c r="G6" i="1"/>
  <c r="F6" i="1"/>
  <c r="E6" i="1"/>
  <c r="D6" i="1"/>
  <c r="D37" i="1" s="1"/>
  <c r="C6" i="1"/>
  <c r="C37" i="1" s="1"/>
  <c r="B6" i="1"/>
  <c r="B37" i="1" s="1"/>
  <c r="C15" i="6" l="1"/>
  <c r="H7" i="6"/>
  <c r="C18" i="6"/>
  <c r="D18" i="6" s="1"/>
  <c r="D2" i="6"/>
  <c r="H4" i="6"/>
  <c r="H5" i="6"/>
  <c r="H6" i="6"/>
  <c r="G7" i="6"/>
  <c r="C23" i="6"/>
  <c r="C25" i="6"/>
  <c r="C27" i="6" s="1"/>
  <c r="H3" i="6" l="1"/>
  <c r="G3" i="6" s="1"/>
  <c r="W5" i="1"/>
  <c r="X5" i="1" s="1"/>
  <c r="C69" i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C68" i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J61" i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H60" i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F59" i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B65" i="1"/>
  <c r="C65" i="1" s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B64" i="1"/>
  <c r="C64" i="1" s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B63" i="1"/>
  <c r="C63" i="1" s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B62" i="1"/>
  <c r="C62" i="1" s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C19" i="1"/>
  <c r="D19" i="1" s="1"/>
  <c r="O9" i="1"/>
  <c r="O15" i="1" s="1"/>
  <c r="P9" i="1"/>
  <c r="P15" i="1" s="1"/>
  <c r="Q9" i="1"/>
  <c r="Q15" i="1" s="1"/>
  <c r="N10" i="1"/>
  <c r="N16" i="1" s="1"/>
  <c r="O10" i="1"/>
  <c r="O16" i="1" s="1"/>
  <c r="P10" i="1"/>
  <c r="P16" i="1" s="1"/>
  <c r="S10" i="1"/>
  <c r="S16" i="1" s="1"/>
  <c r="E37" i="1"/>
  <c r="F37" i="1"/>
  <c r="G9" i="1"/>
  <c r="G15" i="1" s="1"/>
  <c r="H10" i="1"/>
  <c r="H16" i="1" s="1"/>
  <c r="I9" i="1"/>
  <c r="I15" i="1" s="1"/>
  <c r="J9" i="1"/>
  <c r="J15" i="1" s="1"/>
  <c r="K37" i="1"/>
  <c r="L10" i="1"/>
  <c r="L16" i="1" s="1"/>
  <c r="M9" i="1"/>
  <c r="M15" i="1" s="1"/>
  <c r="N9" i="1"/>
  <c r="N15" i="1" s="1"/>
  <c r="O37" i="1"/>
  <c r="P37" i="1"/>
  <c r="Q37" i="1"/>
  <c r="R37" i="1"/>
  <c r="S9" i="1"/>
  <c r="S15" i="1" s="1"/>
  <c r="T9" i="1"/>
  <c r="T15" i="1" s="1"/>
  <c r="U9" i="1"/>
  <c r="U15" i="1" s="1"/>
  <c r="V9" i="1"/>
  <c r="V15" i="1" s="1"/>
  <c r="B9" i="1"/>
  <c r="B15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18" i="1" l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D18" i="1"/>
  <c r="E18" i="1"/>
  <c r="C3" i="6"/>
  <c r="E9" i="1"/>
  <c r="E15" i="1" s="1"/>
  <c r="M37" i="1"/>
  <c r="D9" i="1"/>
  <c r="D15" i="1" s="1"/>
  <c r="H37" i="1"/>
  <c r="M10" i="1"/>
  <c r="M16" i="1" s="1"/>
  <c r="G37" i="1"/>
  <c r="D10" i="1"/>
  <c r="D16" i="1" s="1"/>
  <c r="L37" i="1"/>
  <c r="H9" i="1"/>
  <c r="H15" i="1" s="1"/>
  <c r="I10" i="1"/>
  <c r="I16" i="1" s="1"/>
  <c r="C9" i="1"/>
  <c r="C15" i="1" s="1"/>
  <c r="L9" i="1"/>
  <c r="L15" i="1" s="1"/>
  <c r="G10" i="1"/>
  <c r="G16" i="1" s="1"/>
  <c r="U10" i="1"/>
  <c r="U16" i="1" s="1"/>
  <c r="C10" i="1"/>
  <c r="C16" i="1" s="1"/>
  <c r="T37" i="1"/>
  <c r="T10" i="1"/>
  <c r="T16" i="1" s="1"/>
  <c r="S37" i="1"/>
  <c r="B32" i="1"/>
  <c r="Y5" i="1"/>
  <c r="X6" i="1"/>
  <c r="X9" i="1" s="1"/>
  <c r="X10" i="1" s="1"/>
  <c r="X16" i="1" s="1"/>
  <c r="B10" i="1"/>
  <c r="K10" i="1"/>
  <c r="K16" i="1" s="1"/>
  <c r="K9" i="1"/>
  <c r="K15" i="1" s="1"/>
  <c r="V10" i="1"/>
  <c r="V16" i="1" s="1"/>
  <c r="J10" i="1"/>
  <c r="J16" i="1" s="1"/>
  <c r="R9" i="1"/>
  <c r="R15" i="1" s="1"/>
  <c r="F9" i="1"/>
  <c r="F15" i="1" s="1"/>
  <c r="N37" i="1"/>
  <c r="R10" i="1"/>
  <c r="R16" i="1" s="1"/>
  <c r="F10" i="1"/>
  <c r="F16" i="1" s="1"/>
  <c r="V37" i="1"/>
  <c r="J37" i="1"/>
  <c r="Q10" i="1"/>
  <c r="Q16" i="1" s="1"/>
  <c r="E10" i="1"/>
  <c r="E16" i="1" s="1"/>
  <c r="U37" i="1"/>
  <c r="I37" i="1"/>
  <c r="W6" i="1"/>
  <c r="W9" i="1" s="1"/>
  <c r="W15" i="1" s="1"/>
  <c r="B16" i="1" l="1"/>
  <c r="B33" i="1" s="1"/>
  <c r="B36" i="1" s="1"/>
  <c r="B38" i="1" s="1"/>
  <c r="F18" i="1"/>
  <c r="F32" i="1" s="1"/>
  <c r="D33" i="1"/>
  <c r="D36" i="1" s="1"/>
  <c r="E32" i="1"/>
  <c r="C5" i="6"/>
  <c r="D5" i="6" s="1"/>
  <c r="C4" i="6"/>
  <c r="D4" i="6" s="1"/>
  <c r="C8" i="6"/>
  <c r="D8" i="6" s="1"/>
  <c r="D3" i="6"/>
  <c r="C7" i="6"/>
  <c r="D7" i="6" s="1"/>
  <c r="C9" i="6"/>
  <c r="D9" i="6" s="1"/>
  <c r="X15" i="1"/>
  <c r="C32" i="1"/>
  <c r="C33" i="1"/>
  <c r="D32" i="1"/>
  <c r="W10" i="1"/>
  <c r="W16" i="1" s="1"/>
  <c r="Y6" i="1"/>
  <c r="Y9" i="1" s="1"/>
  <c r="Y15" i="1" s="1"/>
  <c r="Z5" i="1"/>
  <c r="E33" i="1"/>
  <c r="F33" i="1" l="1"/>
  <c r="F36" i="1" s="1"/>
  <c r="F40" i="1" s="1"/>
  <c r="H29" i="1"/>
  <c r="G18" i="1"/>
  <c r="B40" i="1"/>
  <c r="B42" i="1" s="1"/>
  <c r="D40" i="1"/>
  <c r="C36" i="1"/>
  <c r="C40" i="1" s="1"/>
  <c r="C19" i="6"/>
  <c r="C31" i="6" s="1"/>
  <c r="AA5" i="1"/>
  <c r="Z6" i="1"/>
  <c r="Z9" i="1" s="1"/>
  <c r="Y10" i="1"/>
  <c r="Y16" i="1" s="1"/>
  <c r="E36" i="1"/>
  <c r="G32" i="1" l="1"/>
  <c r="G33" i="1"/>
  <c r="G36" i="1" s="1"/>
  <c r="G40" i="1" s="1"/>
  <c r="G42" i="1" s="1"/>
  <c r="I29" i="1"/>
  <c r="H18" i="1"/>
  <c r="C38" i="1"/>
  <c r="D38" i="1" s="1"/>
  <c r="B44" i="1"/>
  <c r="C42" i="1"/>
  <c r="C43" i="1" s="1"/>
  <c r="C47" i="1" s="1"/>
  <c r="F42" i="1"/>
  <c r="F43" i="1" s="1"/>
  <c r="D42" i="1"/>
  <c r="D43" i="1" s="1"/>
  <c r="D47" i="1" s="1"/>
  <c r="B43" i="1"/>
  <c r="B47" i="1" s="1"/>
  <c r="B49" i="1" s="1"/>
  <c r="E40" i="1"/>
  <c r="D19" i="6"/>
  <c r="C29" i="6" s="1"/>
  <c r="Z15" i="1"/>
  <c r="Z10" i="1"/>
  <c r="Z16" i="1" s="1"/>
  <c r="AA6" i="1"/>
  <c r="AA9" i="1" s="1"/>
  <c r="AB5" i="1"/>
  <c r="H33" i="1" l="1"/>
  <c r="H36" i="1" s="1"/>
  <c r="H40" i="1" s="1"/>
  <c r="H32" i="1"/>
  <c r="J29" i="1"/>
  <c r="I18" i="1"/>
  <c r="F47" i="1"/>
  <c r="G43" i="1"/>
  <c r="G47" i="1" s="1"/>
  <c r="C49" i="1"/>
  <c r="D49" i="1" s="1"/>
  <c r="C44" i="1"/>
  <c r="D44" i="1" s="1"/>
  <c r="B45" i="1"/>
  <c r="C45" i="1" s="1"/>
  <c r="E42" i="1"/>
  <c r="C28" i="6"/>
  <c r="C30" i="6"/>
  <c r="AC5" i="1"/>
  <c r="AB6" i="1"/>
  <c r="AB9" i="1" s="1"/>
  <c r="AA15" i="1"/>
  <c r="AA10" i="1"/>
  <c r="AA16" i="1" s="1"/>
  <c r="E38" i="1"/>
  <c r="C52" i="1" l="1"/>
  <c r="I32" i="1"/>
  <c r="I33" i="1"/>
  <c r="I36" i="1" s="1"/>
  <c r="I40" i="1" s="1"/>
  <c r="I42" i="1" s="1"/>
  <c r="K29" i="1"/>
  <c r="J18" i="1"/>
  <c r="H42" i="1"/>
  <c r="H43" i="1" s="1"/>
  <c r="E44" i="1"/>
  <c r="F44" i="1" s="1"/>
  <c r="G44" i="1" s="1"/>
  <c r="E43" i="1"/>
  <c r="E47" i="1" s="1"/>
  <c r="E49" i="1" s="1"/>
  <c r="F49" i="1" s="1"/>
  <c r="G49" i="1" s="1"/>
  <c r="B52" i="1"/>
  <c r="D45" i="1"/>
  <c r="AB10" i="1"/>
  <c r="AB16" i="1" s="1"/>
  <c r="AB15" i="1"/>
  <c r="AD5" i="1"/>
  <c r="AC6" i="1"/>
  <c r="AC9" i="1" s="1"/>
  <c r="F38" i="1"/>
  <c r="H44" i="1" l="1"/>
  <c r="I44" i="1" s="1"/>
  <c r="I43" i="1"/>
  <c r="I47" i="1" s="1"/>
  <c r="H47" i="1"/>
  <c r="H49" i="1" s="1"/>
  <c r="J33" i="1"/>
  <c r="J36" i="1" s="1"/>
  <c r="J40" i="1" s="1"/>
  <c r="J32" i="1"/>
  <c r="L29" i="1"/>
  <c r="K18" i="1"/>
  <c r="E45" i="1"/>
  <c r="F45" i="1" s="1"/>
  <c r="G45" i="1" s="1"/>
  <c r="H45" i="1" s="1"/>
  <c r="D52" i="1"/>
  <c r="G38" i="1"/>
  <c r="AC15" i="1"/>
  <c r="AC10" i="1"/>
  <c r="AC16" i="1" s="1"/>
  <c r="AD6" i="1"/>
  <c r="AD9" i="1" s="1"/>
  <c r="AE5" i="1"/>
  <c r="I45" i="1" l="1"/>
  <c r="I49" i="1"/>
  <c r="E52" i="1"/>
  <c r="K32" i="1"/>
  <c r="K33" i="1"/>
  <c r="K36" i="1" s="1"/>
  <c r="K40" i="1" s="1"/>
  <c r="K42" i="1" s="1"/>
  <c r="F52" i="1"/>
  <c r="M29" i="1"/>
  <c r="L18" i="1"/>
  <c r="J42" i="1"/>
  <c r="AE6" i="1"/>
  <c r="AE9" i="1" s="1"/>
  <c r="AF5" i="1"/>
  <c r="AD15" i="1"/>
  <c r="AD10" i="1"/>
  <c r="AD16" i="1" s="1"/>
  <c r="H38" i="1"/>
  <c r="G52" i="1"/>
  <c r="K43" i="1" l="1"/>
  <c r="K47" i="1" s="1"/>
  <c r="J44" i="1"/>
  <c r="K44" i="1" s="1"/>
  <c r="J43" i="1"/>
  <c r="J45" i="1" s="1"/>
  <c r="L33" i="1"/>
  <c r="L36" i="1" s="1"/>
  <c r="L40" i="1" s="1"/>
  <c r="L32" i="1"/>
  <c r="N29" i="1"/>
  <c r="M18" i="1"/>
  <c r="I38" i="1"/>
  <c r="H52" i="1"/>
  <c r="AF6" i="1"/>
  <c r="AF9" i="1" s="1"/>
  <c r="AG5" i="1"/>
  <c r="AE15" i="1"/>
  <c r="AE10" i="1"/>
  <c r="AE16" i="1" s="1"/>
  <c r="K45" i="1" l="1"/>
  <c r="M32" i="1"/>
  <c r="M33" i="1"/>
  <c r="M36" i="1" s="1"/>
  <c r="M40" i="1" s="1"/>
  <c r="M42" i="1" s="1"/>
  <c r="L42" i="1"/>
  <c r="L43" i="1" s="1"/>
  <c r="J47" i="1"/>
  <c r="J49" i="1" s="1"/>
  <c r="K49" i="1" s="1"/>
  <c r="O29" i="1"/>
  <c r="N18" i="1"/>
  <c r="AG6" i="1"/>
  <c r="AG9" i="1" s="1"/>
  <c r="AH5" i="1"/>
  <c r="AF10" i="1"/>
  <c r="AF16" i="1" s="1"/>
  <c r="AF15" i="1"/>
  <c r="J38" i="1"/>
  <c r="I52" i="1"/>
  <c r="M43" i="1" l="1"/>
  <c r="M47" i="1" s="1"/>
  <c r="L45" i="1"/>
  <c r="P29" i="1"/>
  <c r="O18" i="1"/>
  <c r="N33" i="1"/>
  <c r="N36" i="1" s="1"/>
  <c r="N40" i="1" s="1"/>
  <c r="N42" i="1" s="1"/>
  <c r="N32" i="1"/>
  <c r="L44" i="1"/>
  <c r="M44" i="1" s="1"/>
  <c r="L47" i="1"/>
  <c r="L49" i="1" s="1"/>
  <c r="N43" i="1"/>
  <c r="K38" i="1"/>
  <c r="J52" i="1"/>
  <c r="AI5" i="1"/>
  <c r="AH6" i="1"/>
  <c r="AH9" i="1" s="1"/>
  <c r="AG15" i="1"/>
  <c r="AG10" i="1"/>
  <c r="AG16" i="1" s="1"/>
  <c r="M45" i="1" l="1"/>
  <c r="N45" i="1" s="1"/>
  <c r="M49" i="1"/>
  <c r="N44" i="1"/>
  <c r="O33" i="1"/>
  <c r="O36" i="1" s="1"/>
  <c r="O40" i="1" s="1"/>
  <c r="O42" i="1" s="1"/>
  <c r="O32" i="1"/>
  <c r="Q29" i="1"/>
  <c r="P18" i="1"/>
  <c r="N47" i="1"/>
  <c r="AH15" i="1"/>
  <c r="AH10" i="1"/>
  <c r="AH16" i="1" s="1"/>
  <c r="AI6" i="1"/>
  <c r="AI9" i="1" s="1"/>
  <c r="AJ5" i="1"/>
  <c r="L38" i="1"/>
  <c r="K52" i="1"/>
  <c r="N49" i="1" l="1"/>
  <c r="O44" i="1"/>
  <c r="O43" i="1"/>
  <c r="P32" i="1"/>
  <c r="P33" i="1"/>
  <c r="P36" i="1" s="1"/>
  <c r="P40" i="1" s="1"/>
  <c r="R29" i="1"/>
  <c r="Q18" i="1"/>
  <c r="AK5" i="1"/>
  <c r="AJ6" i="1"/>
  <c r="AJ9" i="1" s="1"/>
  <c r="M38" i="1"/>
  <c r="L52" i="1"/>
  <c r="AI10" i="1"/>
  <c r="AI16" i="1" s="1"/>
  <c r="AI15" i="1"/>
  <c r="O45" i="1" l="1"/>
  <c r="O47" i="1"/>
  <c r="O49" i="1" s="1"/>
  <c r="Q32" i="1"/>
  <c r="Q33" i="1"/>
  <c r="Q36" i="1" s="1"/>
  <c r="Q40" i="1" s="1"/>
  <c r="Q42" i="1" s="1"/>
  <c r="S29" i="1"/>
  <c r="R18" i="1"/>
  <c r="P42" i="1"/>
  <c r="P44" i="1" s="1"/>
  <c r="N38" i="1"/>
  <c r="M52" i="1"/>
  <c r="AJ15" i="1"/>
  <c r="AJ10" i="1"/>
  <c r="AJ16" i="1" s="1"/>
  <c r="AL5" i="1"/>
  <c r="AK6" i="1"/>
  <c r="AK9" i="1" s="1"/>
  <c r="Q43" i="1" l="1"/>
  <c r="Q47" i="1" s="1"/>
  <c r="P43" i="1"/>
  <c r="P45" i="1" s="1"/>
  <c r="R32" i="1"/>
  <c r="R33" i="1"/>
  <c r="R36" i="1" s="1"/>
  <c r="R40" i="1" s="1"/>
  <c r="T29" i="1"/>
  <c r="S18" i="1"/>
  <c r="Q44" i="1"/>
  <c r="AK15" i="1"/>
  <c r="AK10" i="1"/>
  <c r="AK16" i="1" s="1"/>
  <c r="AM5" i="1"/>
  <c r="AL6" i="1"/>
  <c r="AL9" i="1" s="1"/>
  <c r="O38" i="1"/>
  <c r="N52" i="1"/>
  <c r="Q45" i="1" l="1"/>
  <c r="P47" i="1"/>
  <c r="P49" i="1" s="1"/>
  <c r="Q49" i="1" s="1"/>
  <c r="S32" i="1"/>
  <c r="S33" i="1"/>
  <c r="S36" i="1" s="1"/>
  <c r="S40" i="1" s="1"/>
  <c r="U29" i="1"/>
  <c r="T18" i="1"/>
  <c r="R42" i="1"/>
  <c r="AN5" i="1"/>
  <c r="AM6" i="1"/>
  <c r="AM9" i="1" s="1"/>
  <c r="AL15" i="1"/>
  <c r="AL10" i="1"/>
  <c r="AL16" i="1" s="1"/>
  <c r="P38" i="1"/>
  <c r="O52" i="1"/>
  <c r="R44" i="1" l="1"/>
  <c r="R43" i="1"/>
  <c r="R45" i="1" s="1"/>
  <c r="T33" i="1"/>
  <c r="T36" i="1" s="1"/>
  <c r="T40" i="1" s="1"/>
  <c r="T42" i="1" s="1"/>
  <c r="T32" i="1"/>
  <c r="V29" i="1"/>
  <c r="V18" i="1" s="1"/>
  <c r="U18" i="1"/>
  <c r="S42" i="1"/>
  <c r="Q38" i="1"/>
  <c r="P52" i="1"/>
  <c r="AM15" i="1"/>
  <c r="AM10" i="1"/>
  <c r="AM16" i="1" s="1"/>
  <c r="AN6" i="1"/>
  <c r="AN9" i="1" s="1"/>
  <c r="AO5" i="1"/>
  <c r="T43" i="1" l="1"/>
  <c r="T47" i="1" s="1"/>
  <c r="S44" i="1"/>
  <c r="T44" i="1" s="1"/>
  <c r="S43" i="1"/>
  <c r="S45" i="1" s="1"/>
  <c r="W18" i="1"/>
  <c r="V32" i="1"/>
  <c r="V33" i="1"/>
  <c r="V36" i="1" s="1"/>
  <c r="V40" i="1" s="1"/>
  <c r="U32" i="1"/>
  <c r="U33" i="1"/>
  <c r="U36" i="1" s="1"/>
  <c r="U40" i="1" s="1"/>
  <c r="R47" i="1"/>
  <c r="R49" i="1" s="1"/>
  <c r="AO6" i="1"/>
  <c r="AO9" i="1" s="1"/>
  <c r="AP5" i="1"/>
  <c r="AN10" i="1"/>
  <c r="AN16" i="1" s="1"/>
  <c r="AN15" i="1"/>
  <c r="R38" i="1"/>
  <c r="Q52" i="1"/>
  <c r="T45" i="1" l="1"/>
  <c r="S47" i="1"/>
  <c r="S49" i="1" s="1"/>
  <c r="T49" i="1" s="1"/>
  <c r="U42" i="1"/>
  <c r="U43" i="1" s="1"/>
  <c r="V42" i="1"/>
  <c r="V43" i="1" s="1"/>
  <c r="W32" i="1"/>
  <c r="X18" i="1"/>
  <c r="W33" i="1"/>
  <c r="S38" i="1"/>
  <c r="T38" i="1" s="1"/>
  <c r="R52" i="1"/>
  <c r="AP6" i="1"/>
  <c r="AP9" i="1" s="1"/>
  <c r="AQ5" i="1"/>
  <c r="AO15" i="1"/>
  <c r="AO10" i="1"/>
  <c r="AO16" i="1" s="1"/>
  <c r="U45" i="1" l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Y18" i="1"/>
  <c r="X33" i="1"/>
  <c r="X32" i="1"/>
  <c r="V47" i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U47" i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AQ6" i="1"/>
  <c r="AQ9" i="1" s="1"/>
  <c r="AR5" i="1"/>
  <c r="AP15" i="1"/>
  <c r="AP10" i="1"/>
  <c r="AP16" i="1" s="1"/>
  <c r="S52" i="1"/>
  <c r="Z18" i="1" l="1"/>
  <c r="Y32" i="1"/>
  <c r="Y33" i="1"/>
  <c r="U38" i="1"/>
  <c r="T52" i="1"/>
  <c r="AS5" i="1"/>
  <c r="AR6" i="1"/>
  <c r="AR9" i="1" s="1"/>
  <c r="AQ10" i="1"/>
  <c r="AQ16" i="1" s="1"/>
  <c r="AQ15" i="1"/>
  <c r="Z32" i="1" l="1"/>
  <c r="AA18" i="1"/>
  <c r="Z33" i="1"/>
  <c r="AR10" i="1"/>
  <c r="AR16" i="1" s="1"/>
  <c r="AR15" i="1"/>
  <c r="AT5" i="1"/>
  <c r="AS6" i="1"/>
  <c r="AS9" i="1" s="1"/>
  <c r="V38" i="1"/>
  <c r="U52" i="1"/>
  <c r="AB18" i="1" l="1"/>
  <c r="AA32" i="1"/>
  <c r="AA33" i="1"/>
  <c r="W38" i="1"/>
  <c r="X38" i="1" s="1"/>
  <c r="Y38" i="1" s="1"/>
  <c r="Z38" i="1" s="1"/>
  <c r="V52" i="1"/>
  <c r="AS15" i="1"/>
  <c r="AS10" i="1"/>
  <c r="AS16" i="1" s="1"/>
  <c r="AU5" i="1"/>
  <c r="AT6" i="1"/>
  <c r="AT9" i="1" s="1"/>
  <c r="AA38" i="1" l="1"/>
  <c r="AC18" i="1"/>
  <c r="AB33" i="1"/>
  <c r="AB32" i="1"/>
  <c r="AT15" i="1"/>
  <c r="AT10" i="1"/>
  <c r="AT16" i="1" s="1"/>
  <c r="AU6" i="1"/>
  <c r="AU9" i="1" s="1"/>
  <c r="AV5" i="1"/>
  <c r="W52" i="1"/>
  <c r="AB38" i="1" l="1"/>
  <c r="AC32" i="1"/>
  <c r="AC33" i="1"/>
  <c r="AD18" i="1"/>
  <c r="X52" i="1"/>
  <c r="AU10" i="1"/>
  <c r="AU16" i="1" s="1"/>
  <c r="AU15" i="1"/>
  <c r="AW5" i="1"/>
  <c r="AV6" i="1"/>
  <c r="AV9" i="1" s="1"/>
  <c r="AC38" i="1" l="1"/>
  <c r="AE18" i="1"/>
  <c r="AD33" i="1"/>
  <c r="AD32" i="1"/>
  <c r="AX5" i="1"/>
  <c r="AW6" i="1"/>
  <c r="AW9" i="1" s="1"/>
  <c r="AV10" i="1"/>
  <c r="AV16" i="1" s="1"/>
  <c r="AV15" i="1"/>
  <c r="Y52" i="1"/>
  <c r="AD38" i="1" l="1"/>
  <c r="AF18" i="1"/>
  <c r="AE32" i="1"/>
  <c r="AE33" i="1"/>
  <c r="Z52" i="1"/>
  <c r="AW15" i="1"/>
  <c r="AW10" i="1"/>
  <c r="AW16" i="1" s="1"/>
  <c r="AY5" i="1"/>
  <c r="AX6" i="1"/>
  <c r="AX9" i="1" s="1"/>
  <c r="AE38" i="1" l="1"/>
  <c r="AG18" i="1"/>
  <c r="AF32" i="1"/>
  <c r="AF33" i="1"/>
  <c r="AY6" i="1"/>
  <c r="AY9" i="1" s="1"/>
  <c r="AZ5" i="1"/>
  <c r="AX15" i="1"/>
  <c r="AX10" i="1"/>
  <c r="AX16" i="1" s="1"/>
  <c r="AA52" i="1"/>
  <c r="AF38" i="1" l="1"/>
  <c r="AH18" i="1"/>
  <c r="AG32" i="1"/>
  <c r="AG33" i="1"/>
  <c r="AB52" i="1"/>
  <c r="BA5" i="1"/>
  <c r="AZ6" i="1"/>
  <c r="AZ9" i="1" s="1"/>
  <c r="AY15" i="1"/>
  <c r="AY10" i="1"/>
  <c r="AY16" i="1" s="1"/>
  <c r="AG38" i="1" l="1"/>
  <c r="AH32" i="1"/>
  <c r="AI18" i="1"/>
  <c r="AH33" i="1"/>
  <c r="BA6" i="1"/>
  <c r="BA9" i="1" s="1"/>
  <c r="BB5" i="1"/>
  <c r="AZ10" i="1"/>
  <c r="AZ16" i="1" s="1"/>
  <c r="AZ15" i="1"/>
  <c r="AC52" i="1"/>
  <c r="AH38" i="1" l="1"/>
  <c r="AI32" i="1"/>
  <c r="AJ18" i="1"/>
  <c r="AI33" i="1"/>
  <c r="AD52" i="1"/>
  <c r="BC5" i="1"/>
  <c r="BB6" i="1"/>
  <c r="BB9" i="1" s="1"/>
  <c r="BA15" i="1"/>
  <c r="BA10" i="1"/>
  <c r="BA16" i="1" s="1"/>
  <c r="AI38" i="1" l="1"/>
  <c r="AJ32" i="1"/>
  <c r="AJ33" i="1"/>
  <c r="AK18" i="1"/>
  <c r="BC6" i="1"/>
  <c r="BC9" i="1" s="1"/>
  <c r="BD5" i="1"/>
  <c r="BB10" i="1"/>
  <c r="BB16" i="1" s="1"/>
  <c r="BB15" i="1"/>
  <c r="AE52" i="1"/>
  <c r="AJ38" i="1" l="1"/>
  <c r="AL18" i="1"/>
  <c r="AK33" i="1"/>
  <c r="AK32" i="1"/>
  <c r="AF52" i="1"/>
  <c r="BD6" i="1"/>
  <c r="BD9" i="1" s="1"/>
  <c r="BE5" i="1"/>
  <c r="BC10" i="1"/>
  <c r="BC16" i="1" s="1"/>
  <c r="BC15" i="1"/>
  <c r="AK38" i="1" l="1"/>
  <c r="AL33" i="1"/>
  <c r="AM18" i="1"/>
  <c r="AL32" i="1"/>
  <c r="BE6" i="1"/>
  <c r="BE9" i="1" s="1"/>
  <c r="BF5" i="1"/>
  <c r="BD10" i="1"/>
  <c r="BD16" i="1" s="1"/>
  <c r="BD15" i="1"/>
  <c r="AG52" i="1"/>
  <c r="AL38" i="1" l="1"/>
  <c r="AM33" i="1"/>
  <c r="AN18" i="1"/>
  <c r="AM32" i="1"/>
  <c r="AH52" i="1"/>
  <c r="BF6" i="1"/>
  <c r="BF9" i="1" s="1"/>
  <c r="BG5" i="1"/>
  <c r="BE10" i="1"/>
  <c r="BE16" i="1" s="1"/>
  <c r="BE15" i="1"/>
  <c r="AM38" i="1" l="1"/>
  <c r="AO18" i="1"/>
  <c r="AN33" i="1"/>
  <c r="AN32" i="1"/>
  <c r="BF10" i="1"/>
  <c r="BF16" i="1" s="1"/>
  <c r="BF15" i="1"/>
  <c r="BH5" i="1"/>
  <c r="BG6" i="1"/>
  <c r="BG9" i="1" s="1"/>
  <c r="AI52" i="1"/>
  <c r="AN38" i="1" l="1"/>
  <c r="AP18" i="1"/>
  <c r="AO33" i="1"/>
  <c r="AO32" i="1"/>
  <c r="AJ52" i="1"/>
  <c r="BG15" i="1"/>
  <c r="BG10" i="1"/>
  <c r="BG16" i="1" s="1"/>
  <c r="BI5" i="1"/>
  <c r="BH6" i="1"/>
  <c r="BH9" i="1" s="1"/>
  <c r="AO38" i="1" l="1"/>
  <c r="AQ18" i="1"/>
  <c r="AP32" i="1"/>
  <c r="AP33" i="1"/>
  <c r="BI6" i="1"/>
  <c r="BI9" i="1" s="1"/>
  <c r="BJ5" i="1"/>
  <c r="BH15" i="1"/>
  <c r="BH10" i="1"/>
  <c r="BH16" i="1" s="1"/>
  <c r="AK52" i="1"/>
  <c r="AP38" i="1" l="1"/>
  <c r="AQ32" i="1"/>
  <c r="AR18" i="1"/>
  <c r="AQ33" i="1"/>
  <c r="BJ6" i="1"/>
  <c r="BJ9" i="1" s="1"/>
  <c r="BK5" i="1"/>
  <c r="AL52" i="1"/>
  <c r="BI10" i="1"/>
  <c r="BI16" i="1" s="1"/>
  <c r="BI15" i="1"/>
  <c r="AQ38" i="1" l="1"/>
  <c r="AS18" i="1"/>
  <c r="AR33" i="1"/>
  <c r="AR32" i="1"/>
  <c r="BL5" i="1"/>
  <c r="BK6" i="1"/>
  <c r="BK9" i="1" s="1"/>
  <c r="AM52" i="1"/>
  <c r="BJ15" i="1"/>
  <c r="BJ10" i="1"/>
  <c r="BJ16" i="1" s="1"/>
  <c r="AR38" i="1" l="1"/>
  <c r="AT18" i="1"/>
  <c r="AS32" i="1"/>
  <c r="AS33" i="1"/>
  <c r="AN52" i="1"/>
  <c r="BK10" i="1"/>
  <c r="BK16" i="1" s="1"/>
  <c r="BK15" i="1"/>
  <c r="BL6" i="1"/>
  <c r="BL9" i="1" s="1"/>
  <c r="BM5" i="1"/>
  <c r="AS38" i="1" l="1"/>
  <c r="AT33" i="1"/>
  <c r="AU18" i="1"/>
  <c r="AT32" i="1"/>
  <c r="BM6" i="1"/>
  <c r="BM9" i="1" s="1"/>
  <c r="BN5" i="1"/>
  <c r="BL10" i="1"/>
  <c r="BL16" i="1" s="1"/>
  <c r="BL15" i="1"/>
  <c r="AO52" i="1"/>
  <c r="AT38" i="1" l="1"/>
  <c r="AV18" i="1"/>
  <c r="AU33" i="1"/>
  <c r="AU32" i="1"/>
  <c r="AP52" i="1"/>
  <c r="BN6" i="1"/>
  <c r="BN9" i="1" s="1"/>
  <c r="BO5" i="1"/>
  <c r="BM15" i="1"/>
  <c r="BM10" i="1"/>
  <c r="BM16" i="1" s="1"/>
  <c r="AU38" i="1" l="1"/>
  <c r="AV32" i="1"/>
  <c r="AW18" i="1"/>
  <c r="AV33" i="1"/>
  <c r="BP5" i="1"/>
  <c r="BO6" i="1"/>
  <c r="BO9" i="1" s="1"/>
  <c r="BN10" i="1"/>
  <c r="BN16" i="1" s="1"/>
  <c r="BN15" i="1"/>
  <c r="AQ52" i="1"/>
  <c r="AV38" i="1" l="1"/>
  <c r="AX18" i="1"/>
  <c r="AW32" i="1"/>
  <c r="AW33" i="1"/>
  <c r="AR52" i="1"/>
  <c r="BO10" i="1"/>
  <c r="BO16" i="1" s="1"/>
  <c r="BO15" i="1"/>
  <c r="BQ5" i="1"/>
  <c r="BP6" i="1"/>
  <c r="BP9" i="1" s="1"/>
  <c r="AW38" i="1" l="1"/>
  <c r="AY18" i="1"/>
  <c r="AX32" i="1"/>
  <c r="AX33" i="1"/>
  <c r="AX38" i="1" s="1"/>
  <c r="BQ6" i="1"/>
  <c r="BQ9" i="1" s="1"/>
  <c r="BR5" i="1"/>
  <c r="BP10" i="1"/>
  <c r="BP16" i="1" s="1"/>
  <c r="BP15" i="1"/>
  <c r="AS52" i="1"/>
  <c r="AZ18" i="1" l="1"/>
  <c r="AY32" i="1"/>
  <c r="AY33" i="1"/>
  <c r="AY38" i="1" s="1"/>
  <c r="AT52" i="1"/>
  <c r="BS5" i="1"/>
  <c r="BR6" i="1"/>
  <c r="BR9" i="1" s="1"/>
  <c r="BQ15" i="1"/>
  <c r="BQ10" i="1"/>
  <c r="BQ16" i="1" s="1"/>
  <c r="BA18" i="1" l="1"/>
  <c r="AZ32" i="1"/>
  <c r="AZ33" i="1"/>
  <c r="AZ38" i="1" s="1"/>
  <c r="BR10" i="1"/>
  <c r="BR16" i="1" s="1"/>
  <c r="BR15" i="1"/>
  <c r="BS6" i="1"/>
  <c r="BS9" i="1" s="1"/>
  <c r="BT5" i="1"/>
  <c r="AU52" i="1"/>
  <c r="BB18" i="1" l="1"/>
  <c r="BA32" i="1"/>
  <c r="BA33" i="1"/>
  <c r="BA38" i="1" s="1"/>
  <c r="AV52" i="1"/>
  <c r="BU5" i="1"/>
  <c r="BT6" i="1"/>
  <c r="BT9" i="1" s="1"/>
  <c r="BS15" i="1"/>
  <c r="BS10" i="1"/>
  <c r="BS16" i="1" s="1"/>
  <c r="BC18" i="1" l="1"/>
  <c r="BB32" i="1"/>
  <c r="BB33" i="1"/>
  <c r="BB38" i="1" s="1"/>
  <c r="BT15" i="1"/>
  <c r="BT10" i="1"/>
  <c r="BT16" i="1" s="1"/>
  <c r="BU6" i="1"/>
  <c r="BU9" i="1" s="1"/>
  <c r="BV5" i="1"/>
  <c r="AW52" i="1"/>
  <c r="BD18" i="1" l="1"/>
  <c r="BC33" i="1"/>
  <c r="BC38" i="1" s="1"/>
  <c r="BC32" i="1"/>
  <c r="AX52" i="1"/>
  <c r="BU10" i="1"/>
  <c r="BU16" i="1" s="1"/>
  <c r="BU15" i="1"/>
  <c r="BV6" i="1"/>
  <c r="BV9" i="1" s="1"/>
  <c r="BW5" i="1"/>
  <c r="BE18" i="1" l="1"/>
  <c r="BD32" i="1"/>
  <c r="BD33" i="1"/>
  <c r="BD38" i="1" s="1"/>
  <c r="BW6" i="1"/>
  <c r="BW9" i="1" s="1"/>
  <c r="BX5" i="1"/>
  <c r="BV10" i="1"/>
  <c r="BV16" i="1" s="1"/>
  <c r="BV15" i="1"/>
  <c r="AY52" i="1"/>
  <c r="BE33" i="1" l="1"/>
  <c r="BE38" i="1" s="1"/>
  <c r="BE32" i="1"/>
  <c r="BF18" i="1"/>
  <c r="AZ52" i="1"/>
  <c r="BY5" i="1"/>
  <c r="BX6" i="1"/>
  <c r="BX9" i="1" s="1"/>
  <c r="BW15" i="1"/>
  <c r="BW10" i="1"/>
  <c r="BW16" i="1" s="1"/>
  <c r="BG18" i="1" l="1"/>
  <c r="BF32" i="1"/>
  <c r="BF33" i="1"/>
  <c r="BF38" i="1" s="1"/>
  <c r="BX15" i="1"/>
  <c r="BX10" i="1"/>
  <c r="BX16" i="1" s="1"/>
  <c r="BZ5" i="1"/>
  <c r="BY6" i="1"/>
  <c r="BY9" i="1" s="1"/>
  <c r="BA52" i="1"/>
  <c r="BH18" i="1" l="1"/>
  <c r="BG32" i="1"/>
  <c r="BG33" i="1"/>
  <c r="BG38" i="1" s="1"/>
  <c r="BB52" i="1"/>
  <c r="BY15" i="1"/>
  <c r="BY10" i="1"/>
  <c r="BY16" i="1" s="1"/>
  <c r="CA5" i="1"/>
  <c r="BZ6" i="1"/>
  <c r="BZ9" i="1" s="1"/>
  <c r="BI18" i="1" l="1"/>
  <c r="BH33" i="1"/>
  <c r="BH38" i="1" s="1"/>
  <c r="BH32" i="1"/>
  <c r="BZ10" i="1"/>
  <c r="BZ16" i="1" s="1"/>
  <c r="BZ15" i="1"/>
  <c r="CB5" i="1"/>
  <c r="CB6" i="1" s="1"/>
  <c r="CB9" i="1" s="1"/>
  <c r="CA6" i="1"/>
  <c r="CA9" i="1" s="1"/>
  <c r="BC52" i="1"/>
  <c r="BJ18" i="1" l="1"/>
  <c r="BI32" i="1"/>
  <c r="BI33" i="1"/>
  <c r="BI38" i="1" s="1"/>
  <c r="CB10" i="1"/>
  <c r="CB16" i="1" s="1"/>
  <c r="CB15" i="1"/>
  <c r="BD52" i="1"/>
  <c r="CA10" i="1"/>
  <c r="CA16" i="1" s="1"/>
  <c r="CA15" i="1"/>
  <c r="BK18" i="1" l="1"/>
  <c r="BJ33" i="1"/>
  <c r="BJ38" i="1" s="1"/>
  <c r="BJ32" i="1"/>
  <c r="BE52" i="1"/>
  <c r="BL18" i="1" l="1"/>
  <c r="BK32" i="1"/>
  <c r="BK33" i="1"/>
  <c r="BK38" i="1" s="1"/>
  <c r="BF52" i="1"/>
  <c r="BM18" i="1" l="1"/>
  <c r="BL32" i="1"/>
  <c r="BL33" i="1"/>
  <c r="BL38" i="1" s="1"/>
  <c r="BG52" i="1"/>
  <c r="BN18" i="1" l="1"/>
  <c r="BM33" i="1"/>
  <c r="BM38" i="1" s="1"/>
  <c r="BM32" i="1"/>
  <c r="BH52" i="1"/>
  <c r="BN33" i="1" l="1"/>
  <c r="BN38" i="1" s="1"/>
  <c r="BO18" i="1"/>
  <c r="BN32" i="1"/>
  <c r="BI52" i="1"/>
  <c r="BO32" i="1" l="1"/>
  <c r="BP18" i="1"/>
  <c r="BO33" i="1"/>
  <c r="BO38" i="1" s="1"/>
  <c r="BJ52" i="1"/>
  <c r="BP32" i="1" l="1"/>
  <c r="BQ18" i="1"/>
  <c r="BP33" i="1"/>
  <c r="BP38" i="1" s="1"/>
  <c r="BK52" i="1"/>
  <c r="BQ33" i="1" l="1"/>
  <c r="BQ38" i="1" s="1"/>
  <c r="BR18" i="1"/>
  <c r="BQ32" i="1"/>
  <c r="BL52" i="1"/>
  <c r="BR33" i="1" l="1"/>
  <c r="BR38" i="1" s="1"/>
  <c r="BS18" i="1"/>
  <c r="BR32" i="1"/>
  <c r="BM52" i="1"/>
  <c r="BS32" i="1" l="1"/>
  <c r="BT18" i="1"/>
  <c r="BS33" i="1"/>
  <c r="BS38" i="1" s="1"/>
  <c r="BN52" i="1"/>
  <c r="BT32" i="1" l="1"/>
  <c r="BU18" i="1"/>
  <c r="BT33" i="1"/>
  <c r="BT38" i="1" s="1"/>
  <c r="BO52" i="1"/>
  <c r="BU33" i="1" l="1"/>
  <c r="BU38" i="1" s="1"/>
  <c r="BV18" i="1"/>
  <c r="BU32" i="1"/>
  <c r="BP52" i="1"/>
  <c r="BV32" i="1" l="1"/>
  <c r="BW18" i="1"/>
  <c r="BV33" i="1"/>
  <c r="BV38" i="1" s="1"/>
  <c r="BQ52" i="1"/>
  <c r="BW32" i="1" l="1"/>
  <c r="BX18" i="1"/>
  <c r="BW33" i="1"/>
  <c r="BW38" i="1" s="1"/>
  <c r="BR52" i="1"/>
  <c r="BX33" i="1" l="1"/>
  <c r="BX38" i="1" s="1"/>
  <c r="BY18" i="1"/>
  <c r="BX32" i="1"/>
  <c r="BS52" i="1"/>
  <c r="BY32" i="1" l="1"/>
  <c r="BZ18" i="1"/>
  <c r="BY33" i="1"/>
  <c r="BY38" i="1" s="1"/>
  <c r="BT52" i="1"/>
  <c r="BZ32" i="1" l="1"/>
  <c r="CA18" i="1"/>
  <c r="BZ33" i="1"/>
  <c r="BZ38" i="1" s="1"/>
  <c r="BU52" i="1"/>
  <c r="CA33" i="1" l="1"/>
  <c r="CA38" i="1" s="1"/>
  <c r="CB18" i="1"/>
  <c r="CA32" i="1"/>
  <c r="BV52" i="1"/>
  <c r="CB32" i="1" l="1"/>
  <c r="CB33" i="1"/>
  <c r="CB38" i="1" s="1"/>
  <c r="BW52" i="1"/>
  <c r="BX52" i="1" l="1"/>
  <c r="BY52" i="1" l="1"/>
  <c r="BZ52" i="1" l="1"/>
  <c r="CB52" i="1" l="1"/>
  <c r="CA52" i="1"/>
</calcChain>
</file>

<file path=xl/sharedStrings.xml><?xml version="1.0" encoding="utf-8"?>
<sst xmlns="http://schemas.openxmlformats.org/spreadsheetml/2006/main" count="265" uniqueCount="112">
  <si>
    <t>Year</t>
  </si>
  <si>
    <t>TIS</t>
  </si>
  <si>
    <t>Age</t>
  </si>
  <si>
    <t>Grade</t>
  </si>
  <si>
    <t>O1</t>
  </si>
  <si>
    <t>O2</t>
  </si>
  <si>
    <t>O3</t>
  </si>
  <si>
    <t>O4</t>
  </si>
  <si>
    <t>O5</t>
  </si>
  <si>
    <t>Base Pay (monthly)</t>
  </si>
  <si>
    <t>Annual Salary</t>
  </si>
  <si>
    <t>BAH</t>
  </si>
  <si>
    <t>BAH W/DEP</t>
  </si>
  <si>
    <t>Annual Salary+BAH w/o DEP</t>
  </si>
  <si>
    <t>Annual Salary+BAH w/ DEP</t>
  </si>
  <si>
    <t>TAXES!!!!!</t>
  </si>
  <si>
    <t>After Taxes Annual Salary</t>
  </si>
  <si>
    <t>Cost of Living (annual)</t>
  </si>
  <si>
    <t>Housing (monthly)</t>
  </si>
  <si>
    <t>Utilities (Monthly)</t>
  </si>
  <si>
    <t>Food (Monthly)</t>
  </si>
  <si>
    <t>Transportation (Monthly)</t>
  </si>
  <si>
    <t>Insurance/Debt/misc (Monthly)</t>
  </si>
  <si>
    <t>Misc (monthly</t>
  </si>
  <si>
    <t>Travel (monthly)</t>
  </si>
  <si>
    <t>Entertainment (monthly)</t>
  </si>
  <si>
    <t>Shopping (monthly)</t>
  </si>
  <si>
    <t>Eating out (monthly)</t>
  </si>
  <si>
    <t>After Expenses Remaining:</t>
  </si>
  <si>
    <t>TSP Contribution: ($22.5K limit)</t>
  </si>
  <si>
    <t>TSP Value</t>
  </si>
  <si>
    <t>You ROTH IRA Value ($6K limit)</t>
  </si>
  <si>
    <t>Spouse ROTH IRA Value ($6K limit)</t>
  </si>
  <si>
    <t>After TSP Remaining:</t>
  </si>
  <si>
    <t>Brokerage Account Balance</t>
  </si>
  <si>
    <t>Total Investment Value/Net Worth</t>
  </si>
  <si>
    <t>House Value</t>
  </si>
  <si>
    <t>Spousal Income</t>
  </si>
  <si>
    <t>Side Hustle</t>
  </si>
  <si>
    <t>Kid 1</t>
  </si>
  <si>
    <t>Kid 2</t>
  </si>
  <si>
    <t>Kid 3</t>
  </si>
  <si>
    <t>Parent 1</t>
  </si>
  <si>
    <t>Parent 2</t>
  </si>
  <si>
    <t>Parent 3</t>
  </si>
  <si>
    <t>Parent 4</t>
  </si>
  <si>
    <t>Spouse Age</t>
  </si>
  <si>
    <t>Car Mileage Per Year</t>
  </si>
  <si>
    <t>Car 1</t>
  </si>
  <si>
    <t>Car 2</t>
  </si>
  <si>
    <t>Army Moves/Locations</t>
  </si>
  <si>
    <t>Retirement</t>
  </si>
  <si>
    <t>-</t>
  </si>
  <si>
    <t>Cow Loan</t>
  </si>
  <si>
    <t>%</t>
  </si>
  <si>
    <t>Annual w/ Principal Equity</t>
  </si>
  <si>
    <t>Annual w/ 4% Appreciation</t>
  </si>
  <si>
    <t>Annual ROI w/o Property Management</t>
  </si>
  <si>
    <t>Annual Return on Investment Interest (Reference: 7% Is the Conservative Estimate for Total Index Stock Market)</t>
  </si>
  <si>
    <t>Annual ROI</t>
  </si>
  <si>
    <t>Total Property Investment</t>
  </si>
  <si>
    <t>Total Personal Investment</t>
  </si>
  <si>
    <t>Total Amount</t>
  </si>
  <si>
    <t>Rehab Costs</t>
  </si>
  <si>
    <t>Assume 7%</t>
  </si>
  <si>
    <t>Closing Cost</t>
  </si>
  <si>
    <t xml:space="preserve"> Assume 20%</t>
  </si>
  <si>
    <t>Amount Down</t>
  </si>
  <si>
    <t>ROI</t>
  </si>
  <si>
    <t>Monthly Passive Income</t>
  </si>
  <si>
    <t xml:space="preserve"> Assume 11%</t>
  </si>
  <si>
    <t>Property Management</t>
  </si>
  <si>
    <t>N/A</t>
  </si>
  <si>
    <t>Lawn Care</t>
  </si>
  <si>
    <t>Snow Removal</t>
  </si>
  <si>
    <t>HOA Fees (if needed)</t>
  </si>
  <si>
    <t>Tenant Pays</t>
  </si>
  <si>
    <t>Electricity</t>
  </si>
  <si>
    <t>Gas</t>
  </si>
  <si>
    <t>Garbage</t>
  </si>
  <si>
    <t>Sewer</t>
  </si>
  <si>
    <t>Water</t>
  </si>
  <si>
    <t>New Homes 5%, Old Homes=15%</t>
  </si>
  <si>
    <t>Capital Expenditures</t>
  </si>
  <si>
    <t>New Homes 5%, Old Homes=12%</t>
  </si>
  <si>
    <t>Normal Repairs</t>
  </si>
  <si>
    <t>Vacancy</t>
  </si>
  <si>
    <t>Years</t>
  </si>
  <si>
    <t>Flood Insurance (if needed)</t>
  </si>
  <si>
    <t>Percentage Rate</t>
  </si>
  <si>
    <t>Insurance</t>
  </si>
  <si>
    <t>Principal</t>
  </si>
  <si>
    <t>Taxes</t>
  </si>
  <si>
    <t>Mortgage</t>
  </si>
  <si>
    <t>Monthly</t>
  </si>
  <si>
    <t>Annual</t>
  </si>
  <si>
    <t>Rental Rate</t>
  </si>
  <si>
    <t>Mortgage Amount</t>
  </si>
  <si>
    <t>Annual Costs</t>
  </si>
  <si>
    <t>Monthly Costs</t>
  </si>
  <si>
    <t>*About 15-20%</t>
  </si>
  <si>
    <t>*About 5%</t>
  </si>
  <si>
    <t>Assume 5 weeks/year (9.6%)</t>
  </si>
  <si>
    <t>Equity Gained</t>
  </si>
  <si>
    <t>*THIS IS A VERY ELEMENTARY CALC FOR PRINCIPAL PAY DOWN AND DOES NOT ACCURATELY REFLECT AMORTIZATION SCHEDULES</t>
  </si>
  <si>
    <t>Annual Expenses Increase (Lifestyle Creep)</t>
  </si>
  <si>
    <t>Investments Rate of Return 
(usually 5-10% after inflation: past decade was 9.58%)</t>
  </si>
  <si>
    <t>Your ROTH IRA Contribution</t>
  </si>
  <si>
    <t>Spouse ROTH IRA Contribution</t>
  </si>
  <si>
    <t>Spouse Income</t>
  </si>
  <si>
    <t>Effective Tax Rate:</t>
  </si>
  <si>
    <t>TSP Match (5% Base pay after 2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</si>
</sst>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60656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9" fontId="0" fillId="4" borderId="0" xfId="2" applyFont="1" applyFill="1"/>
    <xf numFmtId="164" fontId="0" fillId="4" borderId="0" xfId="1" applyFont="1" applyFill="1"/>
    <xf numFmtId="0" fontId="0" fillId="4" borderId="0" xfId="0" applyFill="1"/>
    <xf numFmtId="164" fontId="0" fillId="2" borderId="0" xfId="0" applyNumberFormat="1" applyFill="1"/>
    <xf numFmtId="0" fontId="0" fillId="5" borderId="0" xfId="0" applyFill="1"/>
    <xf numFmtId="10" fontId="0" fillId="0" borderId="0" xfId="0" applyNumberFormat="1"/>
    <xf numFmtId="10" fontId="0" fillId="0" borderId="2" xfId="0" applyNumberFormat="1" applyBorder="1"/>
    <xf numFmtId="10" fontId="0" fillId="5" borderId="3" xfId="0" applyNumberFormat="1" applyFill="1" applyBorder="1"/>
    <xf numFmtId="0" fontId="0" fillId="0" borderId="4" xfId="0" applyBorder="1"/>
    <xf numFmtId="0" fontId="0" fillId="0" borderId="5" xfId="0" applyBorder="1"/>
    <xf numFmtId="10" fontId="0" fillId="5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10" xfId="0" applyBorder="1"/>
    <xf numFmtId="0" fontId="3" fillId="0" borderId="5" xfId="0" applyFont="1" applyBorder="1" applyAlignment="1">
      <alignment vertical="center"/>
    </xf>
    <xf numFmtId="165" fontId="0" fillId="0" borderId="0" xfId="0" applyNumberFormat="1"/>
    <xf numFmtId="165" fontId="0" fillId="6" borderId="11" xfId="0" applyNumberFormat="1" applyFill="1" applyBorder="1"/>
    <xf numFmtId="165" fontId="0" fillId="0" borderId="12" xfId="0" applyNumberFormat="1" applyBorder="1"/>
    <xf numFmtId="0" fontId="0" fillId="0" borderId="13" xfId="0" applyBorder="1"/>
    <xf numFmtId="0" fontId="0" fillId="0" borderId="14" xfId="0" applyBorder="1"/>
    <xf numFmtId="165" fontId="0" fillId="0" borderId="15" xfId="0" applyNumberFormat="1" applyBorder="1"/>
    <xf numFmtId="0" fontId="0" fillId="0" borderId="16" xfId="0" applyBorder="1"/>
    <xf numFmtId="0" fontId="0" fillId="0" borderId="17" xfId="0" applyBorder="1"/>
    <xf numFmtId="165" fontId="0" fillId="0" borderId="18" xfId="0" applyNumberFormat="1" applyBorder="1"/>
    <xf numFmtId="0" fontId="0" fillId="0" borderId="19" xfId="0" applyBorder="1"/>
    <xf numFmtId="0" fontId="0" fillId="0" borderId="20" xfId="0" applyBorder="1"/>
    <xf numFmtId="165" fontId="0" fillId="4" borderId="18" xfId="0" applyNumberFormat="1" applyFill="1" applyBorder="1"/>
    <xf numFmtId="0" fontId="3" fillId="0" borderId="20" xfId="0" applyFont="1" applyBorder="1" applyAlignment="1">
      <alignment vertical="center"/>
    </xf>
    <xf numFmtId="9" fontId="0" fillId="0" borderId="19" xfId="0" applyNumberFormat="1" applyBorder="1"/>
    <xf numFmtId="165" fontId="0" fillId="4" borderId="21" xfId="0" applyNumberFormat="1" applyFill="1" applyBorder="1"/>
    <xf numFmtId="9" fontId="0" fillId="0" borderId="22" xfId="0" applyNumberFormat="1" applyBorder="1"/>
    <xf numFmtId="0" fontId="3" fillId="0" borderId="2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165" fontId="0" fillId="6" borderId="24" xfId="0" applyNumberFormat="1" applyFill="1" applyBorder="1"/>
    <xf numFmtId="165" fontId="0" fillId="0" borderId="25" xfId="0" applyNumberFormat="1" applyBorder="1"/>
    <xf numFmtId="0" fontId="0" fillId="0" borderId="26" xfId="0" applyBorder="1"/>
    <xf numFmtId="0" fontId="3" fillId="0" borderId="27" xfId="0" applyFont="1" applyBorder="1" applyAlignment="1">
      <alignment vertical="center"/>
    </xf>
    <xf numFmtId="165" fontId="0" fillId="6" borderId="28" xfId="0" applyNumberFormat="1" applyFill="1" applyBorder="1"/>
    <xf numFmtId="165" fontId="0" fillId="5" borderId="28" xfId="0" applyNumberFormat="1" applyFill="1" applyBorder="1"/>
    <xf numFmtId="0" fontId="3" fillId="0" borderId="14" xfId="0" applyFont="1" applyBorder="1" applyAlignment="1">
      <alignment vertical="center"/>
    </xf>
    <xf numFmtId="165" fontId="0" fillId="0" borderId="11" xfId="0" applyNumberFormat="1" applyBorder="1"/>
    <xf numFmtId="165" fontId="0" fillId="4" borderId="11" xfId="0" applyNumberFormat="1" applyFill="1" applyBorder="1"/>
    <xf numFmtId="0" fontId="0" fillId="0" borderId="9" xfId="0" applyBorder="1"/>
    <xf numFmtId="0" fontId="0" fillId="0" borderId="29" xfId="0" applyBorder="1"/>
    <xf numFmtId="0" fontId="0" fillId="0" borderId="30" xfId="0" applyBorder="1"/>
    <xf numFmtId="0" fontId="0" fillId="4" borderId="31" xfId="0" applyFill="1" applyBorder="1"/>
    <xf numFmtId="0" fontId="0" fillId="0" borderId="32" xfId="0" applyBorder="1"/>
    <xf numFmtId="0" fontId="0" fillId="4" borderId="1" xfId="0" applyFill="1" applyBorder="1"/>
    <xf numFmtId="165" fontId="0" fillId="0" borderId="19" xfId="0" applyNumberFormat="1" applyBorder="1"/>
    <xf numFmtId="0" fontId="0" fillId="0" borderId="33" xfId="0" applyBorder="1"/>
    <xf numFmtId="0" fontId="0" fillId="0" borderId="34" xfId="0" applyBorder="1"/>
    <xf numFmtId="0" fontId="0" fillId="0" borderId="23" xfId="0" applyBorder="1"/>
    <xf numFmtId="165" fontId="0" fillId="6" borderId="35" xfId="0" applyNumberFormat="1" applyFill="1" applyBorder="1"/>
    <xf numFmtId="165" fontId="0" fillId="4" borderId="35" xfId="0" applyNumberFormat="1" applyFill="1" applyBorder="1"/>
    <xf numFmtId="0" fontId="0" fillId="0" borderId="22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0" xfId="0" applyAlignment="1">
      <alignment wrapText="1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2148840</xdr:colOff>
      <xdr:row>70</xdr:row>
      <xdr:rowOff>2858</xdr:rowOff>
    </xdr:from>
    <xdr:to>
      <xdr:col>2</xdr:col>
      <xdr:colOff>15240</xdr:colOff>
      <xdr:row>71</xdr:row>
      <xdr:rowOff>79058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C7DA8F0-F9F4-8FAD-3434-744C62A5F4D9}"/>
            </a:ext>
          </a:extLst>
        </xdr:cNvPr>
        <xdr:cNvSpPr/>
      </xdr:nvSpPr>
      <xdr:spPr>
        <a:xfrm>
          <a:off x="2148840" y="12309158"/>
          <a:ext cx="866775" cy="2571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BOLC</a:t>
          </a:r>
        </a:p>
      </xdr:txBody>
    </xdr:sp>
    <xdr:clientData/>
  </xdr:twoCellAnchor>
  <xdr:twoCellAnchor>
    <xdr:from>
      <xdr:col>2</xdr:col>
      <xdr:colOff>58341</xdr:colOff>
      <xdr:row>70</xdr:row>
      <xdr:rowOff>0</xdr:rowOff>
    </xdr:from>
    <xdr:to>
      <xdr:col>4</xdr:col>
      <xdr:colOff>814626</xdr:colOff>
      <xdr:row>71</xdr:row>
      <xdr:rowOff>83820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1832CC2-B0D8-4588-9D20-38575B483763}"/>
            </a:ext>
          </a:extLst>
        </xdr:cNvPr>
        <xdr:cNvSpPr/>
      </xdr:nvSpPr>
      <xdr:spPr>
        <a:xfrm>
          <a:off x="3058716" y="12306300"/>
          <a:ext cx="2318385" cy="26479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1ST Duty Station</a:t>
          </a:r>
        </a:p>
      </xdr:txBody>
    </xdr:sp>
    <xdr:clientData/>
  </xdr:twoCellAnchor>
  <xdr:twoCellAnchor>
    <xdr:from>
      <xdr:col>5</xdr:col>
      <xdr:colOff>6192</xdr:colOff>
      <xdr:row>70</xdr:row>
      <xdr:rowOff>2858</xdr:rowOff>
    </xdr:from>
    <xdr:to>
      <xdr:col>6</xdr:col>
      <xdr:colOff>21432</xdr:colOff>
      <xdr:row>71</xdr:row>
      <xdr:rowOff>79058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16243A4-B6A8-43EB-839C-614A057CAC7A}"/>
            </a:ext>
          </a:extLst>
        </xdr:cNvPr>
        <xdr:cNvSpPr/>
      </xdr:nvSpPr>
      <xdr:spPr>
        <a:xfrm>
          <a:off x="5416392" y="12309158"/>
          <a:ext cx="862965" cy="2571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CCC</a:t>
          </a:r>
        </a:p>
      </xdr:txBody>
    </xdr:sp>
    <xdr:clientData/>
  </xdr:twoCellAnchor>
  <xdr:twoCellAnchor>
    <xdr:from>
      <xdr:col>6</xdr:col>
      <xdr:colOff>60723</xdr:colOff>
      <xdr:row>70</xdr:row>
      <xdr:rowOff>953</xdr:rowOff>
    </xdr:from>
    <xdr:to>
      <xdr:col>8</xdr:col>
      <xdr:colOff>702708</xdr:colOff>
      <xdr:row>71</xdr:row>
      <xdr:rowOff>82868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5B4A243-3A2B-45BA-B6D7-72F949535669}"/>
            </a:ext>
          </a:extLst>
        </xdr:cNvPr>
        <xdr:cNvSpPr/>
      </xdr:nvSpPr>
      <xdr:spPr>
        <a:xfrm>
          <a:off x="6318648" y="12307253"/>
          <a:ext cx="2337435" cy="26289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2nd</a:t>
          </a:r>
          <a:r>
            <a:rPr lang="en-US" sz="1100" baseline="0"/>
            <a:t> </a:t>
          </a:r>
          <a:r>
            <a:rPr lang="en-US" sz="1100"/>
            <a:t> Duty Station</a:t>
          </a:r>
        </a:p>
      </xdr:txBody>
    </xdr:sp>
    <xdr:clientData/>
  </xdr:twoCellAnchor>
  <xdr:twoCellAnchor>
    <xdr:from>
      <xdr:col>8</xdr:col>
      <xdr:colOff>741999</xdr:colOff>
      <xdr:row>69</xdr:row>
      <xdr:rowOff>177165</xdr:rowOff>
    </xdr:from>
    <xdr:to>
      <xdr:col>11</xdr:col>
      <xdr:colOff>703899</xdr:colOff>
      <xdr:row>71</xdr:row>
      <xdr:rowOff>85725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18C561F-F3F1-44CF-8250-38D72B486CFA}"/>
            </a:ext>
          </a:extLst>
        </xdr:cNvPr>
        <xdr:cNvSpPr/>
      </xdr:nvSpPr>
      <xdr:spPr>
        <a:xfrm>
          <a:off x="8695374" y="12302490"/>
          <a:ext cx="2505075" cy="2705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Broadening</a:t>
          </a:r>
        </a:p>
      </xdr:txBody>
    </xdr:sp>
    <xdr:clientData/>
  </xdr:twoCellAnchor>
  <xdr:twoCellAnchor>
    <xdr:from>
      <xdr:col>11</xdr:col>
      <xdr:colOff>743190</xdr:colOff>
      <xdr:row>69</xdr:row>
      <xdr:rowOff>177165</xdr:rowOff>
    </xdr:from>
    <xdr:to>
      <xdr:col>13</xdr:col>
      <xdr:colOff>55485</xdr:colOff>
      <xdr:row>71</xdr:row>
      <xdr:rowOff>85725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AC24949-CB83-4B83-AD49-3188D150014D}"/>
            </a:ext>
          </a:extLst>
        </xdr:cNvPr>
        <xdr:cNvSpPr/>
      </xdr:nvSpPr>
      <xdr:spPr>
        <a:xfrm>
          <a:off x="11239740" y="12302490"/>
          <a:ext cx="1007745" cy="27051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ILE</a:t>
          </a:r>
        </a:p>
      </xdr:txBody>
    </xdr:sp>
    <xdr:clientData/>
  </xdr:twoCellAnchor>
  <xdr:twoCellAnchor>
    <xdr:from>
      <xdr:col>13</xdr:col>
      <xdr:colOff>94776</xdr:colOff>
      <xdr:row>70</xdr:row>
      <xdr:rowOff>6668</xdr:rowOff>
    </xdr:from>
    <xdr:to>
      <xdr:col>15</xdr:col>
      <xdr:colOff>894876</xdr:colOff>
      <xdr:row>71</xdr:row>
      <xdr:rowOff>77153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8E66B02-65E9-4F9B-8AC2-5859397A328A}"/>
            </a:ext>
          </a:extLst>
        </xdr:cNvPr>
        <xdr:cNvSpPr/>
      </xdr:nvSpPr>
      <xdr:spPr>
        <a:xfrm>
          <a:off x="12286776" y="12312968"/>
          <a:ext cx="2495550" cy="2514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3rd Duty Station</a:t>
          </a:r>
        </a:p>
      </xdr:txBody>
    </xdr:sp>
    <xdr:clientData/>
  </xdr:twoCellAnchor>
  <xdr:twoCellAnchor>
    <xdr:from>
      <xdr:col>15</xdr:col>
      <xdr:colOff>934167</xdr:colOff>
      <xdr:row>70</xdr:row>
      <xdr:rowOff>8573</xdr:rowOff>
    </xdr:from>
    <xdr:to>
      <xdr:col>19</xdr:col>
      <xdr:colOff>19767</xdr:colOff>
      <xdr:row>71</xdr:row>
      <xdr:rowOff>75248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69C9076-0D82-43F5-9587-005963CC46FA}"/>
            </a:ext>
          </a:extLst>
        </xdr:cNvPr>
        <xdr:cNvSpPr/>
      </xdr:nvSpPr>
      <xdr:spPr>
        <a:xfrm>
          <a:off x="14821617" y="12314873"/>
          <a:ext cx="2895600" cy="2476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4th Duty Station</a:t>
          </a:r>
        </a:p>
      </xdr:txBody>
    </xdr:sp>
    <xdr:clientData/>
  </xdr:twoCellAnchor>
  <xdr:twoCellAnchor>
    <xdr:from>
      <xdr:col>19</xdr:col>
      <xdr:colOff>62865</xdr:colOff>
      <xdr:row>70</xdr:row>
      <xdr:rowOff>7620</xdr:rowOff>
    </xdr:from>
    <xdr:to>
      <xdr:col>21</xdr:col>
      <xdr:colOff>914400</xdr:colOff>
      <xdr:row>71</xdr:row>
      <xdr:rowOff>74295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9B470C6-A5D5-4E12-B6E2-452B70A3AD30}"/>
            </a:ext>
          </a:extLst>
        </xdr:cNvPr>
        <xdr:cNvSpPr/>
      </xdr:nvSpPr>
      <xdr:spPr>
        <a:xfrm>
          <a:off x="17760315" y="12313920"/>
          <a:ext cx="2756535" cy="2476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5th Duty Station</a:t>
          </a:r>
        </a:p>
      </xdr:txBody>
    </xdr:sp>
    <xdr:clientData/>
  </xdr:twoCellAnchor>
  <xdr:twoCellAnchor>
    <xdr:from>
      <xdr:col>22</xdr:col>
      <xdr:colOff>236220</xdr:colOff>
      <xdr:row>18</xdr:row>
      <xdr:rowOff>49530</xdr:rowOff>
    </xdr:from>
    <xdr:to>
      <xdr:col>23</xdr:col>
      <xdr:colOff>967740</xdr:colOff>
      <xdr:row>21</xdr:row>
      <xdr:rowOff>135255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BD253B-B0BB-F014-B8FC-EB8DFA759DB6}"/>
            </a:ext>
          </a:extLst>
        </xdr:cNvPr>
        <xdr:cNvSpPr txBox="1"/>
      </xdr:nvSpPr>
      <xdr:spPr>
        <a:xfrm>
          <a:off x="20947380" y="3478530"/>
          <a:ext cx="17145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Continue to maintain same</a:t>
          </a:r>
          <a:r>
            <a:rPr lang="en-US" sz="1100" baseline="0"/>
            <a:t> lifestyle/expenses for remainder of your life?</a:t>
          </a:r>
        </a:p>
        <a:p>
          <a:endParaRPr lang="en-US" sz="1100"/>
        </a:p>
      </xdr:txBody>
    </xdr:sp>
    <xdr:clientData/>
  </xdr:twoCellAnchor>
  <xdr:twoCellAnchor>
    <xdr:from>
      <xdr:col>8</xdr:col>
      <xdr:colOff>384810</xdr:colOff>
      <xdr:row>13</xdr:row>
      <xdr:rowOff>152400</xdr:rowOff>
    </xdr:from>
    <xdr:to>
      <xdr:col>12</xdr:col>
      <xdr:colOff>85725</xdr:colOff>
      <xdr:row>15</xdr:row>
      <xdr:rowOff>133350</xdr:rowOff>
    </xdr:to>
    <xdr:sp macro="" textlink="">
      <xdr:nvSpPr>
        <xdr:cNvPr id="13" name="Speech Bubble: Rectangle 12">
          <a:extLst>
            <a:ext uri="{FF2B5EF4-FFF2-40B4-BE49-F238E27FC236}">
              <a16:creationId xmlns:a16="http://schemas.microsoft.com/office/drawing/2014/main" id="{8E9C4220-F345-3C89-E939-18D265BCC9DB}"/>
            </a:ext>
          </a:extLst>
        </xdr:cNvPr>
        <xdr:cNvSpPr/>
      </xdr:nvSpPr>
      <xdr:spPr>
        <a:xfrm>
          <a:off x="8423910" y="2628900"/>
          <a:ext cx="3190875" cy="361950"/>
        </a:xfrm>
        <a:prstGeom prst="wedgeRectCallout">
          <a:avLst>
            <a:gd name="adj1" fmla="val -219519"/>
            <a:gd name="adj2" fmla="val 1896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can easily jump</a:t>
          </a:r>
          <a:r>
            <a:rPr lang="en-US" sz="1100" baseline="0"/>
            <a:t> to 30-40% of income</a:t>
          </a:r>
          <a:endParaRPr lang="en-US" sz="1100"/>
        </a:p>
      </xdr:txBody>
    </xdr:sp>
    <xdr:clientData/>
  </xdr:twoCellAnchor>
  <xdr:twoCellAnchor>
    <xdr:from>
      <xdr:col>8</xdr:col>
      <xdr:colOff>300990</xdr:colOff>
      <xdr:row>16</xdr:row>
      <xdr:rowOff>142875</xdr:rowOff>
    </xdr:from>
    <xdr:to>
      <xdr:col>11</xdr:col>
      <xdr:colOff>880110</xdr:colOff>
      <xdr:row>19</xdr:row>
      <xdr:rowOff>5715</xdr:rowOff>
    </xdr:to>
    <xdr:sp macro="" textlink="">
      <xdr:nvSpPr>
        <xdr:cNvPr id="14" name="Speech Bubble: Rectangle 13">
          <a:extLst>
            <a:ext uri="{FF2B5EF4-FFF2-40B4-BE49-F238E27FC236}">
              <a16:creationId xmlns:a16="http://schemas.microsoft.com/office/drawing/2014/main" id="{026B1001-E596-4BC0-83E7-FA60DAAAC673}"/>
            </a:ext>
          </a:extLst>
        </xdr:cNvPr>
        <xdr:cNvSpPr/>
      </xdr:nvSpPr>
      <xdr:spPr>
        <a:xfrm>
          <a:off x="8340090" y="3190875"/>
          <a:ext cx="3185160" cy="434340"/>
        </a:xfrm>
        <a:prstGeom prst="wedgeRectCallout">
          <a:avLst>
            <a:gd name="adj1" fmla="val -218562"/>
            <a:gd name="adj2" fmla="val 1651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can easily jump</a:t>
          </a:r>
          <a:r>
            <a:rPr lang="en-US" sz="1100" baseline="0"/>
            <a:t> to $1500/mo+ with two nice cars with loans and high insurance costs.</a:t>
          </a:r>
          <a:endParaRPr lang="en-US" sz="1100"/>
        </a:p>
      </xdr:txBody>
    </xdr:sp>
    <xdr:clientData/>
  </xdr:twoCellAnchor>
  <xdr:twoCellAnchor>
    <xdr:from>
      <xdr:col>8</xdr:col>
      <xdr:colOff>308610</xdr:colOff>
      <xdr:row>19</xdr:row>
      <xdr:rowOff>91440</xdr:rowOff>
    </xdr:from>
    <xdr:to>
      <xdr:col>12</xdr:col>
      <xdr:colOff>3810</xdr:colOff>
      <xdr:row>23</xdr:row>
      <xdr:rowOff>158115</xdr:rowOff>
    </xdr:to>
    <xdr:sp macro="" textlink="">
      <xdr:nvSpPr>
        <xdr:cNvPr id="15" name="Speech Bubble: Rectangle 14">
          <a:extLst>
            <a:ext uri="{FF2B5EF4-FFF2-40B4-BE49-F238E27FC236}">
              <a16:creationId xmlns:a16="http://schemas.microsoft.com/office/drawing/2014/main" id="{55D48ABE-8117-4C94-B6A6-7D7709141FCF}"/>
            </a:ext>
          </a:extLst>
        </xdr:cNvPr>
        <xdr:cNvSpPr/>
      </xdr:nvSpPr>
      <xdr:spPr>
        <a:xfrm>
          <a:off x="8820150" y="3566160"/>
          <a:ext cx="3284220" cy="798195"/>
        </a:xfrm>
        <a:prstGeom prst="wedgeRectCallout">
          <a:avLst>
            <a:gd name="adj1" fmla="val -218562"/>
            <a:gd name="adj2" fmla="val 1091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is where a</a:t>
          </a:r>
          <a:r>
            <a:rPr lang="en-US" sz="1100" baseline="0"/>
            <a:t> lot of lifestyle creep occurs. Eating out can easily be $800/mo for 2 people. Vacations can easily be $600+/mo on avg with big trips in a year+ routine. Shopping can be $750+/mo. etc</a:t>
          </a:r>
          <a:endParaRPr lang="en-US" sz="1100"/>
        </a:p>
      </xdr:txBody>
    </xdr:sp>
    <xdr:clientData/>
  </xdr:twoCellAnchor>
  <xdr:twoCellAnchor>
    <xdr:from>
      <xdr:col>8</xdr:col>
      <xdr:colOff>156210</xdr:colOff>
      <xdr:row>29</xdr:row>
      <xdr:rowOff>45721</xdr:rowOff>
    </xdr:from>
    <xdr:to>
      <xdr:col>11</xdr:col>
      <xdr:colOff>765810</xdr:colOff>
      <xdr:row>32</xdr:row>
      <xdr:rowOff>15241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C6FFFFD6-17F5-46D4-ACF5-42112131424E}"/>
            </a:ext>
          </a:extLst>
        </xdr:cNvPr>
        <xdr:cNvSpPr/>
      </xdr:nvSpPr>
      <xdr:spPr>
        <a:xfrm>
          <a:off x="8667750" y="5349241"/>
          <a:ext cx="3284220" cy="518160"/>
        </a:xfrm>
        <a:prstGeom prst="wedgeRectCallout">
          <a:avLst>
            <a:gd name="adj1" fmla="val -214618"/>
            <a:gd name="adj2" fmla="val 1253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</a:t>
          </a:r>
          <a:r>
            <a:rPr lang="en-US" sz="1100" baseline="0"/>
            <a:t> rate of return is based on exposure to SP500 or total stock market index fund</a:t>
          </a:r>
          <a:endParaRPr lang="en-US" sz="1100"/>
        </a:p>
      </xdr:txBody>
    </xdr:sp>
    <xdr:clientData/>
  </xdr:twoCellAnchor>
  <xdr:twoCellAnchor>
    <xdr:from>
      <xdr:col>8</xdr:col>
      <xdr:colOff>842010</xdr:colOff>
      <xdr:row>32</xdr:row>
      <xdr:rowOff>7620</xdr:rowOff>
    </xdr:from>
    <xdr:to>
      <xdr:col>12</xdr:col>
      <xdr:colOff>537210</xdr:colOff>
      <xdr:row>35</xdr:row>
      <xdr:rowOff>121920</xdr:rowOff>
    </xdr:to>
    <xdr:sp macro="" textlink="">
      <xdr:nvSpPr>
        <xdr:cNvPr id="16" name="Speech Bubble: Rectangle 15">
          <a:extLst>
            <a:ext uri="{FF2B5EF4-FFF2-40B4-BE49-F238E27FC236}">
              <a16:creationId xmlns:a16="http://schemas.microsoft.com/office/drawing/2014/main" id="{E5CC6A90-13EE-4A43-948E-1ED0B3DEB37F}"/>
            </a:ext>
          </a:extLst>
        </xdr:cNvPr>
        <xdr:cNvSpPr/>
      </xdr:nvSpPr>
      <xdr:spPr>
        <a:xfrm>
          <a:off x="9353550" y="5859780"/>
          <a:ext cx="3284220" cy="929640"/>
        </a:xfrm>
        <a:prstGeom prst="wedgeRectCallout">
          <a:avLst>
            <a:gd name="adj1" fmla="val -239908"/>
            <a:gd name="adj2" fmla="val 913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assumes you are going to max TSP first</a:t>
          </a:r>
          <a:r>
            <a:rPr lang="en-US" sz="1100" baseline="0"/>
            <a:t> before and IRA contributions. Not wrong or right. TSP is very low cost and provides adequate options, but not very flexible. </a:t>
          </a:r>
          <a:endParaRPr lang="en-US" sz="1100"/>
        </a:p>
      </xdr:txBody>
    </xdr:sp>
    <xdr:clientData/>
  </xdr:twoCellAnchor>
  <xdr:twoCellAnchor>
    <xdr:from>
      <xdr:col>8</xdr:col>
      <xdr:colOff>537210</xdr:colOff>
      <xdr:row>25</xdr:row>
      <xdr:rowOff>99061</xdr:rowOff>
    </xdr:from>
    <xdr:to>
      <xdr:col>12</xdr:col>
      <xdr:colOff>232410</xdr:colOff>
      <xdr:row>28</xdr:row>
      <xdr:rowOff>68581</xdr:rowOff>
    </xdr:to>
    <xdr:sp macro="" textlink="">
      <xdr:nvSpPr>
        <xdr:cNvPr id="18" name="Speech Bubble: Rectangle 17">
          <a:extLst>
            <a:ext uri="{FF2B5EF4-FFF2-40B4-BE49-F238E27FC236}">
              <a16:creationId xmlns:a16="http://schemas.microsoft.com/office/drawing/2014/main" id="{BC3BA1CE-8818-4B44-923C-AE248BDAA1E8}"/>
            </a:ext>
          </a:extLst>
        </xdr:cNvPr>
        <xdr:cNvSpPr/>
      </xdr:nvSpPr>
      <xdr:spPr>
        <a:xfrm>
          <a:off x="9048750" y="4671061"/>
          <a:ext cx="3284220" cy="518160"/>
        </a:xfrm>
        <a:prstGeom prst="wedgeRectCallout">
          <a:avLst>
            <a:gd name="adj1" fmla="val -224595"/>
            <a:gd name="adj2" fmla="val 1973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All Future Values reference</a:t>
          </a:r>
          <a:r>
            <a:rPr lang="en-US" sz="1100" baseline="0"/>
            <a:t> with dependents rate.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108585</xdr:colOff>
      <xdr:row>5</xdr:row>
      <xdr:rowOff>170180</xdr:rowOff>
    </xdr:from>
    <xdr:to>
      <xdr:col>11</xdr:col>
      <xdr:colOff>723900</xdr:colOff>
      <xdr:row>10</xdr:row>
      <xdr:rowOff>93980</xdr:rowOff>
    </xdr:to>
    <xdr:sp macro="" textlink="">
      <xdr:nvSpPr>
        <xdr:cNvPr id="19" name="Speech Bubble: Rectangle 18">
          <a:extLst>
            <a:ext uri="{FF2B5EF4-FFF2-40B4-BE49-F238E27FC236}">
              <a16:creationId xmlns:a16="http://schemas.microsoft.com/office/drawing/2014/main" id="{58085270-B81A-4ED1-9FCE-2ABBEF459F44}"/>
            </a:ext>
          </a:extLst>
        </xdr:cNvPr>
        <xdr:cNvSpPr/>
      </xdr:nvSpPr>
      <xdr:spPr>
        <a:xfrm>
          <a:off x="8773160" y="1106805"/>
          <a:ext cx="3339465" cy="860425"/>
        </a:xfrm>
        <a:prstGeom prst="wedgeRectCallout">
          <a:avLst>
            <a:gd name="adj1" fmla="val -230636"/>
            <a:gd name="adj2" fmla="val 436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Input your Post BAH for LT</a:t>
          </a:r>
          <a:r>
            <a:rPr lang="en-US" sz="1100" baseline="0"/>
            <a:t>-CPT, and then a safe baseline for future years. or I assume all BAH is used on housing and utilities, and wipe those from my budget.</a:t>
          </a:r>
          <a:endParaRPr lang="en-US" sz="1100"/>
        </a:p>
      </xdr:txBody>
    </xdr:sp>
    <xdr:clientData/>
  </xdr:twoCellAnchor>
  <xdr:twoCellAnchor>
    <xdr:from>
      <xdr:col>8</xdr:col>
      <xdr:colOff>651511</xdr:colOff>
      <xdr:row>8</xdr:row>
      <xdr:rowOff>30480</xdr:rowOff>
    </xdr:from>
    <xdr:to>
      <xdr:col>12</xdr:col>
      <xdr:colOff>350521</xdr:colOff>
      <xdr:row>10</xdr:row>
      <xdr:rowOff>106680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BCF38623-D5B5-4361-9187-D013F4B062B5}"/>
            </a:ext>
          </a:extLst>
        </xdr:cNvPr>
        <xdr:cNvSpPr/>
      </xdr:nvSpPr>
      <xdr:spPr>
        <a:xfrm>
          <a:off x="9163051" y="1493520"/>
          <a:ext cx="3288030" cy="441960"/>
        </a:xfrm>
        <a:prstGeom prst="wedgeRectCallout">
          <a:avLst>
            <a:gd name="adj1" fmla="val -230636"/>
            <a:gd name="adj2" fmla="val 436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Input spouse salary/income</a:t>
          </a:r>
        </a:p>
      </xdr:txBody>
    </xdr:sp>
    <xdr:clientData/>
  </xdr:twoCellAnchor>
  <xdr:twoCellAnchor>
    <xdr:from>
      <xdr:col>8</xdr:col>
      <xdr:colOff>872491</xdr:colOff>
      <xdr:row>10</xdr:row>
      <xdr:rowOff>152400</xdr:rowOff>
    </xdr:from>
    <xdr:to>
      <xdr:col>12</xdr:col>
      <xdr:colOff>571501</xdr:colOff>
      <xdr:row>13</xdr:row>
      <xdr:rowOff>45720</xdr:rowOff>
    </xdr:to>
    <xdr:sp macro="" textlink="">
      <xdr:nvSpPr>
        <xdr:cNvPr id="21" name="Speech Bubble: Rectangle 20">
          <a:extLst>
            <a:ext uri="{FF2B5EF4-FFF2-40B4-BE49-F238E27FC236}">
              <a16:creationId xmlns:a16="http://schemas.microsoft.com/office/drawing/2014/main" id="{3C909A3D-602D-423C-91E9-CA78BDBDEB45}"/>
            </a:ext>
          </a:extLst>
        </xdr:cNvPr>
        <xdr:cNvSpPr/>
      </xdr:nvSpPr>
      <xdr:spPr>
        <a:xfrm>
          <a:off x="9384031" y="1981200"/>
          <a:ext cx="3288030" cy="441960"/>
        </a:xfrm>
        <a:prstGeom prst="wedgeRectCallout">
          <a:avLst>
            <a:gd name="adj1" fmla="val -230636"/>
            <a:gd name="adj2" fmla="val 436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could compute this. BAH is not taxed. Marginal</a:t>
          </a:r>
          <a:r>
            <a:rPr lang="en-US" sz="1100" baseline="0"/>
            <a:t> tax rates are published. Assume standard deduction. </a:t>
          </a:r>
          <a:endParaRPr lang="en-US" sz="1100"/>
        </a:p>
      </xdr:txBody>
    </xdr:sp>
    <xdr:clientData/>
  </xdr:twoCellAnchor>
  <xdr:twoCellAnchor>
    <xdr:from>
      <xdr:col>0</xdr:col>
      <xdr:colOff>1154431</xdr:colOff>
      <xdr:row>1</xdr:row>
      <xdr:rowOff>15240</xdr:rowOff>
    </xdr:from>
    <xdr:to>
      <xdr:col>2</xdr:col>
      <xdr:colOff>655321</xdr:colOff>
      <xdr:row>3</xdr:row>
      <xdr:rowOff>38100</xdr:rowOff>
    </xdr:to>
    <xdr:sp macro="" textlink="">
      <xdr:nvSpPr>
        <xdr:cNvPr id="22" name="Speech Bubble: Rectangle 21">
          <a:extLst>
            <a:ext uri="{FF2B5EF4-FFF2-40B4-BE49-F238E27FC236}">
              <a16:creationId xmlns:a16="http://schemas.microsoft.com/office/drawing/2014/main" id="{D8815D93-CEFE-43E8-8A56-FD71551F3CE7}"/>
            </a:ext>
          </a:extLst>
        </xdr:cNvPr>
        <xdr:cNvSpPr/>
      </xdr:nvSpPr>
      <xdr:spPr>
        <a:xfrm>
          <a:off x="1154431" y="198120"/>
          <a:ext cx="2815590" cy="388620"/>
        </a:xfrm>
        <a:prstGeom prst="wedgeRectCallout">
          <a:avLst>
            <a:gd name="adj1" fmla="val -11562"/>
            <a:gd name="adj2" fmla="val 1402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Fill in all the Yellow cells throughout.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119062</xdr:colOff>
      <xdr:row>9</xdr:row>
      <xdr:rowOff>109666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D48FF-2CB4-7C62-9FA9-62AE7C1E7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30104" cy="1776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223F-7ECE-4BC4-85E6-03A02D25DFCA}">
  <dimension ref="A1:CB71"/>
  <sheetViews>
    <sheetView tabSelected="1" zoomScaleNormal="100" workbookViewId="0">
      <pane xSplit="1" ySplit="3" topLeftCell="Q4" activePane="bottomRight" state="frozen"/>
      <selection pane="topRight" activeCell="B1" sqref="B1"/>
      <selection pane="bottomLeft" activeCell="A4" sqref="A4"/>
      <selection pane="bottomRight" activeCell="A5" sqref="A5:XFD5"/>
    </sheetView>
  </sheetViews>
  <sheetFormatPr defaultRowHeight="14.75" x14ac:dyDescent="0.75"/>
  <cols>
    <col min="1" max="1" width="36" bestFit="1" customWidth="1"/>
    <col min="2" max="2" width="12.36328125" bestFit="1" customWidth="1"/>
    <col min="3" max="4" width="11.90625" bestFit="1" customWidth="1"/>
    <col min="5" max="11" width="13.04296875" bestFit="1" customWidth="1"/>
    <col min="12" max="12" width="13.36328125" bestFit="1" customWidth="1"/>
    <col min="13" max="15" width="13.04296875" bestFit="1" customWidth="1"/>
    <col min="16" max="16" width="13.90625" bestFit="1" customWidth="1"/>
    <col min="17" max="17" width="14.36328125" bestFit="1" customWidth="1"/>
    <col min="18" max="20" width="13.90625" bestFit="1" customWidth="1"/>
    <col min="21" max="45" width="14.7265625" bestFit="1" customWidth="1"/>
    <col min="46" max="65" width="15.7265625" bestFit="1" customWidth="1"/>
    <col min="66" max="66" width="15.6796875" customWidth="1"/>
    <col min="67" max="79" width="9.86328125" bestFit="1" customWidth="1"/>
    <col min="80" max="80" width="15.36328125" bestFit="1" customWidth="1"/>
  </cols>
  <sheetData>
    <row r="1" spans="1:80" x14ac:dyDescent="0.75">
      <c r="A1" t="s">
        <v>0</v>
      </c>
      <c r="B1">
        <v>2024</v>
      </c>
      <c r="C1">
        <f>B1+1</f>
        <v>2025</v>
      </c>
      <c r="D1">
        <f t="shared" ref="D1:E1" si="0">C1+1</f>
        <v>2026</v>
      </c>
      <c r="E1">
        <f t="shared" si="0"/>
        <v>2027</v>
      </c>
      <c r="F1">
        <f>E1+1</f>
        <v>2028</v>
      </c>
      <c r="G1">
        <f t="shared" ref="G1:T1" si="1">F1+1</f>
        <v>2029</v>
      </c>
      <c r="H1">
        <f t="shared" si="1"/>
        <v>2030</v>
      </c>
      <c r="I1">
        <f t="shared" si="1"/>
        <v>2031</v>
      </c>
      <c r="J1">
        <f t="shared" si="1"/>
        <v>2032</v>
      </c>
      <c r="K1">
        <f t="shared" si="1"/>
        <v>2033</v>
      </c>
      <c r="L1">
        <f t="shared" si="1"/>
        <v>2034</v>
      </c>
      <c r="M1">
        <f t="shared" si="1"/>
        <v>2035</v>
      </c>
      <c r="N1">
        <f t="shared" si="1"/>
        <v>2036</v>
      </c>
      <c r="O1">
        <f t="shared" si="1"/>
        <v>2037</v>
      </c>
      <c r="P1">
        <f t="shared" si="1"/>
        <v>2038</v>
      </c>
      <c r="Q1">
        <f t="shared" si="1"/>
        <v>2039</v>
      </c>
      <c r="R1">
        <f t="shared" si="1"/>
        <v>2040</v>
      </c>
      <c r="S1">
        <f t="shared" si="1"/>
        <v>2041</v>
      </c>
      <c r="T1">
        <f t="shared" si="1"/>
        <v>2042</v>
      </c>
      <c r="U1">
        <f t="shared" ref="U1:W1" si="2">T1+1</f>
        <v>2043</v>
      </c>
      <c r="V1">
        <f t="shared" si="2"/>
        <v>2044</v>
      </c>
      <c r="W1">
        <f t="shared" si="2"/>
        <v>2045</v>
      </c>
      <c r="X1">
        <f>W1+1</f>
        <v>2046</v>
      </c>
      <c r="Y1">
        <f t="shared" ref="Y1:BN1" si="3">X1+1</f>
        <v>2047</v>
      </c>
      <c r="Z1">
        <f t="shared" si="3"/>
        <v>2048</v>
      </c>
      <c r="AA1">
        <f t="shared" si="3"/>
        <v>2049</v>
      </c>
      <c r="AB1">
        <f t="shared" si="3"/>
        <v>2050</v>
      </c>
      <c r="AC1">
        <f t="shared" si="3"/>
        <v>2051</v>
      </c>
      <c r="AD1">
        <f t="shared" si="3"/>
        <v>2052</v>
      </c>
      <c r="AE1">
        <f t="shared" si="3"/>
        <v>2053</v>
      </c>
      <c r="AF1">
        <f t="shared" si="3"/>
        <v>2054</v>
      </c>
      <c r="AG1">
        <f t="shared" si="3"/>
        <v>2055</v>
      </c>
      <c r="AH1">
        <f t="shared" si="3"/>
        <v>2056</v>
      </c>
      <c r="AI1">
        <f t="shared" si="3"/>
        <v>2057</v>
      </c>
      <c r="AJ1">
        <f t="shared" si="3"/>
        <v>2058</v>
      </c>
      <c r="AK1">
        <f t="shared" si="3"/>
        <v>2059</v>
      </c>
      <c r="AL1">
        <f t="shared" si="3"/>
        <v>2060</v>
      </c>
      <c r="AM1">
        <f t="shared" si="3"/>
        <v>2061</v>
      </c>
      <c r="AN1">
        <f t="shared" si="3"/>
        <v>2062</v>
      </c>
      <c r="AO1">
        <f t="shared" si="3"/>
        <v>2063</v>
      </c>
      <c r="AP1">
        <f t="shared" si="3"/>
        <v>2064</v>
      </c>
      <c r="AQ1">
        <f t="shared" si="3"/>
        <v>2065</v>
      </c>
      <c r="AR1">
        <f t="shared" si="3"/>
        <v>2066</v>
      </c>
      <c r="AS1">
        <f t="shared" si="3"/>
        <v>2067</v>
      </c>
      <c r="AT1">
        <f t="shared" si="3"/>
        <v>2068</v>
      </c>
      <c r="AU1">
        <f t="shared" si="3"/>
        <v>2069</v>
      </c>
      <c r="AV1">
        <f t="shared" si="3"/>
        <v>2070</v>
      </c>
      <c r="AW1">
        <f t="shared" si="3"/>
        <v>2071</v>
      </c>
      <c r="AX1">
        <f t="shared" si="3"/>
        <v>2072</v>
      </c>
      <c r="AY1">
        <f t="shared" si="3"/>
        <v>2073</v>
      </c>
      <c r="AZ1">
        <f t="shared" si="3"/>
        <v>2074</v>
      </c>
      <c r="BA1">
        <f t="shared" si="3"/>
        <v>2075</v>
      </c>
      <c r="BB1">
        <f t="shared" si="3"/>
        <v>2076</v>
      </c>
      <c r="BC1">
        <f t="shared" si="3"/>
        <v>2077</v>
      </c>
      <c r="BD1">
        <f t="shared" si="3"/>
        <v>2078</v>
      </c>
      <c r="BE1">
        <f t="shared" si="3"/>
        <v>2079</v>
      </c>
      <c r="BF1">
        <f t="shared" si="3"/>
        <v>2080</v>
      </c>
      <c r="BG1">
        <f t="shared" si="3"/>
        <v>2081</v>
      </c>
      <c r="BH1">
        <f t="shared" si="3"/>
        <v>2082</v>
      </c>
      <c r="BI1">
        <f t="shared" si="3"/>
        <v>2083</v>
      </c>
      <c r="BJ1">
        <f t="shared" si="3"/>
        <v>2084</v>
      </c>
      <c r="BK1">
        <f t="shared" si="3"/>
        <v>2085</v>
      </c>
      <c r="BL1">
        <f t="shared" si="3"/>
        <v>2086</v>
      </c>
      <c r="BM1">
        <f t="shared" si="3"/>
        <v>2087</v>
      </c>
      <c r="BN1">
        <f t="shared" si="3"/>
        <v>2088</v>
      </c>
      <c r="BO1">
        <f t="shared" ref="BO1:CB1" si="4">BN1+1</f>
        <v>2089</v>
      </c>
      <c r="BP1">
        <f t="shared" si="4"/>
        <v>2090</v>
      </c>
      <c r="BQ1">
        <f t="shared" si="4"/>
        <v>2091</v>
      </c>
      <c r="BR1">
        <f t="shared" si="4"/>
        <v>2092</v>
      </c>
      <c r="BS1">
        <f t="shared" si="4"/>
        <v>2093</v>
      </c>
      <c r="BT1">
        <f t="shared" si="4"/>
        <v>2094</v>
      </c>
      <c r="BU1">
        <f t="shared" si="4"/>
        <v>2095</v>
      </c>
      <c r="BV1">
        <f t="shared" si="4"/>
        <v>2096</v>
      </c>
      <c r="BW1">
        <f t="shared" si="4"/>
        <v>2097</v>
      </c>
      <c r="BX1">
        <f t="shared" si="4"/>
        <v>2098</v>
      </c>
      <c r="BY1">
        <f t="shared" si="4"/>
        <v>2099</v>
      </c>
      <c r="BZ1">
        <f t="shared" si="4"/>
        <v>2100</v>
      </c>
      <c r="CA1">
        <f t="shared" si="4"/>
        <v>2101</v>
      </c>
      <c r="CB1">
        <f t="shared" si="4"/>
        <v>2102</v>
      </c>
    </row>
    <row r="2" spans="1:80" x14ac:dyDescent="0.75">
      <c r="A2" t="s">
        <v>1</v>
      </c>
      <c r="B2">
        <v>0</v>
      </c>
      <c r="C2">
        <f t="shared" ref="C2:E3" si="5">B2+1</f>
        <v>1</v>
      </c>
      <c r="D2">
        <f t="shared" si="5"/>
        <v>2</v>
      </c>
      <c r="E2">
        <f t="shared" si="5"/>
        <v>3</v>
      </c>
      <c r="F2">
        <f t="shared" ref="F2:T2" si="6">E2+1</f>
        <v>4</v>
      </c>
      <c r="G2">
        <f t="shared" si="6"/>
        <v>5</v>
      </c>
      <c r="H2">
        <f t="shared" si="6"/>
        <v>6</v>
      </c>
      <c r="I2">
        <f t="shared" si="6"/>
        <v>7</v>
      </c>
      <c r="J2">
        <f t="shared" si="6"/>
        <v>8</v>
      </c>
      <c r="K2">
        <f t="shared" si="6"/>
        <v>9</v>
      </c>
      <c r="L2">
        <f t="shared" si="6"/>
        <v>10</v>
      </c>
      <c r="M2">
        <f t="shared" si="6"/>
        <v>11</v>
      </c>
      <c r="N2">
        <f t="shared" si="6"/>
        <v>12</v>
      </c>
      <c r="O2">
        <f t="shared" si="6"/>
        <v>13</v>
      </c>
      <c r="P2">
        <f t="shared" si="6"/>
        <v>14</v>
      </c>
      <c r="Q2">
        <f t="shared" si="6"/>
        <v>15</v>
      </c>
      <c r="R2">
        <f t="shared" si="6"/>
        <v>16</v>
      </c>
      <c r="S2">
        <f t="shared" si="6"/>
        <v>17</v>
      </c>
      <c r="T2">
        <f t="shared" si="6"/>
        <v>18</v>
      </c>
      <c r="U2">
        <f t="shared" ref="U2:V2" si="7">T2+1</f>
        <v>19</v>
      </c>
      <c r="V2">
        <f t="shared" si="7"/>
        <v>20</v>
      </c>
    </row>
    <row r="3" spans="1:80" x14ac:dyDescent="0.75">
      <c r="A3" t="s">
        <v>2</v>
      </c>
      <c r="B3">
        <v>22</v>
      </c>
      <c r="C3">
        <f t="shared" si="5"/>
        <v>23</v>
      </c>
      <c r="D3">
        <f t="shared" si="5"/>
        <v>24</v>
      </c>
      <c r="E3">
        <f t="shared" si="5"/>
        <v>25</v>
      </c>
      <c r="F3">
        <f t="shared" ref="F3:T3" si="8">E3+1</f>
        <v>26</v>
      </c>
      <c r="G3">
        <f t="shared" si="8"/>
        <v>27</v>
      </c>
      <c r="H3">
        <f t="shared" si="8"/>
        <v>28</v>
      </c>
      <c r="I3">
        <f t="shared" si="8"/>
        <v>29</v>
      </c>
      <c r="J3">
        <f t="shared" si="8"/>
        <v>30</v>
      </c>
      <c r="K3">
        <f t="shared" si="8"/>
        <v>31</v>
      </c>
      <c r="L3">
        <f t="shared" si="8"/>
        <v>32</v>
      </c>
      <c r="M3">
        <f t="shared" si="8"/>
        <v>33</v>
      </c>
      <c r="N3">
        <f t="shared" si="8"/>
        <v>34</v>
      </c>
      <c r="O3">
        <f t="shared" si="8"/>
        <v>35</v>
      </c>
      <c r="P3">
        <f t="shared" si="8"/>
        <v>36</v>
      </c>
      <c r="Q3">
        <f t="shared" si="8"/>
        <v>37</v>
      </c>
      <c r="R3">
        <f t="shared" si="8"/>
        <v>38</v>
      </c>
      <c r="S3">
        <f t="shared" si="8"/>
        <v>39</v>
      </c>
      <c r="T3">
        <f t="shared" si="8"/>
        <v>40</v>
      </c>
      <c r="U3">
        <f t="shared" ref="U3:W3" si="9">T3+1</f>
        <v>41</v>
      </c>
      <c r="V3">
        <f t="shared" si="9"/>
        <v>42</v>
      </c>
      <c r="W3">
        <f t="shared" si="9"/>
        <v>43</v>
      </c>
      <c r="X3">
        <f>W3+1</f>
        <v>44</v>
      </c>
      <c r="Y3">
        <f t="shared" ref="Y3:BN3" si="10">X3+1</f>
        <v>45</v>
      </c>
      <c r="Z3">
        <f t="shared" si="10"/>
        <v>46</v>
      </c>
      <c r="AA3">
        <f t="shared" si="10"/>
        <v>47</v>
      </c>
      <c r="AB3">
        <f t="shared" si="10"/>
        <v>48</v>
      </c>
      <c r="AC3">
        <f t="shared" si="10"/>
        <v>49</v>
      </c>
      <c r="AD3">
        <f t="shared" si="10"/>
        <v>50</v>
      </c>
      <c r="AE3">
        <f t="shared" si="10"/>
        <v>51</v>
      </c>
      <c r="AF3">
        <f t="shared" si="10"/>
        <v>52</v>
      </c>
      <c r="AG3">
        <f t="shared" si="10"/>
        <v>53</v>
      </c>
      <c r="AH3">
        <f t="shared" si="10"/>
        <v>54</v>
      </c>
      <c r="AI3">
        <f t="shared" si="10"/>
        <v>55</v>
      </c>
      <c r="AJ3">
        <f t="shared" si="10"/>
        <v>56</v>
      </c>
      <c r="AK3">
        <f t="shared" si="10"/>
        <v>57</v>
      </c>
      <c r="AL3">
        <f t="shared" si="10"/>
        <v>58</v>
      </c>
      <c r="AM3">
        <f t="shared" si="10"/>
        <v>59</v>
      </c>
      <c r="AN3">
        <f t="shared" si="10"/>
        <v>60</v>
      </c>
      <c r="AO3">
        <f t="shared" si="10"/>
        <v>61</v>
      </c>
      <c r="AP3">
        <f t="shared" si="10"/>
        <v>62</v>
      </c>
      <c r="AQ3">
        <f t="shared" si="10"/>
        <v>63</v>
      </c>
      <c r="AR3">
        <f t="shared" si="10"/>
        <v>64</v>
      </c>
      <c r="AS3">
        <f t="shared" si="10"/>
        <v>65</v>
      </c>
      <c r="AT3">
        <f t="shared" si="10"/>
        <v>66</v>
      </c>
      <c r="AU3">
        <f t="shared" si="10"/>
        <v>67</v>
      </c>
      <c r="AV3">
        <f t="shared" si="10"/>
        <v>68</v>
      </c>
      <c r="AW3">
        <f t="shared" si="10"/>
        <v>69</v>
      </c>
      <c r="AX3">
        <f t="shared" si="10"/>
        <v>70</v>
      </c>
      <c r="AY3">
        <f t="shared" si="10"/>
        <v>71</v>
      </c>
      <c r="AZ3">
        <f t="shared" si="10"/>
        <v>72</v>
      </c>
      <c r="BA3">
        <f t="shared" si="10"/>
        <v>73</v>
      </c>
      <c r="BB3">
        <f t="shared" si="10"/>
        <v>74</v>
      </c>
      <c r="BC3">
        <f t="shared" si="10"/>
        <v>75</v>
      </c>
      <c r="BD3">
        <f t="shared" si="10"/>
        <v>76</v>
      </c>
      <c r="BE3">
        <f t="shared" si="10"/>
        <v>77</v>
      </c>
      <c r="BF3">
        <f t="shared" si="10"/>
        <v>78</v>
      </c>
      <c r="BG3">
        <f t="shared" si="10"/>
        <v>79</v>
      </c>
      <c r="BH3">
        <f t="shared" si="10"/>
        <v>80</v>
      </c>
      <c r="BI3">
        <f t="shared" si="10"/>
        <v>81</v>
      </c>
      <c r="BJ3">
        <f t="shared" si="10"/>
        <v>82</v>
      </c>
      <c r="BK3">
        <f t="shared" si="10"/>
        <v>83</v>
      </c>
      <c r="BL3">
        <f t="shared" si="10"/>
        <v>84</v>
      </c>
      <c r="BM3">
        <f t="shared" si="10"/>
        <v>85</v>
      </c>
      <c r="BN3">
        <f t="shared" si="10"/>
        <v>86</v>
      </c>
      <c r="BO3">
        <f t="shared" ref="BO3:CB3" si="11">BN3+1</f>
        <v>87</v>
      </c>
      <c r="BP3">
        <f t="shared" si="11"/>
        <v>88</v>
      </c>
      <c r="BQ3">
        <f t="shared" si="11"/>
        <v>89</v>
      </c>
      <c r="BR3">
        <f t="shared" si="11"/>
        <v>90</v>
      </c>
      <c r="BS3">
        <f t="shared" si="11"/>
        <v>91</v>
      </c>
      <c r="BT3">
        <f t="shared" si="11"/>
        <v>92</v>
      </c>
      <c r="BU3">
        <f t="shared" si="11"/>
        <v>93</v>
      </c>
      <c r="BV3">
        <f t="shared" si="11"/>
        <v>94</v>
      </c>
      <c r="BW3">
        <f t="shared" si="11"/>
        <v>95</v>
      </c>
      <c r="BX3">
        <f t="shared" si="11"/>
        <v>96</v>
      </c>
      <c r="BY3">
        <f t="shared" si="11"/>
        <v>97</v>
      </c>
      <c r="BZ3">
        <f t="shared" si="11"/>
        <v>98</v>
      </c>
      <c r="CA3">
        <f t="shared" si="11"/>
        <v>99</v>
      </c>
      <c r="CB3">
        <f t="shared" si="11"/>
        <v>100</v>
      </c>
    </row>
    <row r="4" spans="1:80" x14ac:dyDescent="0.75">
      <c r="A4" t="s">
        <v>3</v>
      </c>
      <c r="B4" t="s">
        <v>4</v>
      </c>
      <c r="C4" t="s">
        <v>4</v>
      </c>
      <c r="D4" t="s">
        <v>5</v>
      </c>
      <c r="E4" t="s">
        <v>5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8</v>
      </c>
      <c r="U4" t="s">
        <v>8</v>
      </c>
      <c r="V4" t="s">
        <v>8</v>
      </c>
      <c r="W4" s="5">
        <v>0.4</v>
      </c>
      <c r="X4" t="s">
        <v>51</v>
      </c>
    </row>
    <row r="5" spans="1:80" s="1" customFormat="1" x14ac:dyDescent="0.75">
      <c r="A5" s="1" t="s">
        <v>9</v>
      </c>
      <c r="B5" s="1">
        <v>4150.2</v>
      </c>
      <c r="C5" s="1">
        <v>4150.2</v>
      </c>
      <c r="D5" s="1">
        <v>5446.2</v>
      </c>
      <c r="E5" s="1">
        <v>6272.4</v>
      </c>
      <c r="F5" s="1">
        <v>7382.7</v>
      </c>
      <c r="G5" s="1">
        <v>7382.7</v>
      </c>
      <c r="H5" s="1">
        <v>7737</v>
      </c>
      <c r="I5" s="1">
        <f>H5</f>
        <v>7737</v>
      </c>
      <c r="J5" s="1">
        <v>8125.5</v>
      </c>
      <c r="K5" s="1">
        <f>J5</f>
        <v>8125.5</v>
      </c>
      <c r="L5" s="1">
        <v>8375.7000000000007</v>
      </c>
      <c r="M5" s="1">
        <v>9420</v>
      </c>
      <c r="N5" s="1">
        <v>9888.2999999999993</v>
      </c>
      <c r="O5" s="1">
        <v>9888.2999999999993</v>
      </c>
      <c r="P5" s="1">
        <v>10214.4</v>
      </c>
      <c r="Q5" s="1">
        <v>10214.4</v>
      </c>
      <c r="R5" s="1">
        <v>10401.6</v>
      </c>
      <c r="S5" s="1">
        <v>10401.6</v>
      </c>
      <c r="T5" s="1">
        <v>11713.8</v>
      </c>
      <c r="U5" s="1">
        <v>11713.8</v>
      </c>
      <c r="V5" s="1">
        <v>12032.7</v>
      </c>
      <c r="W5" s="1">
        <f>V5*W4</f>
        <v>4813.0800000000008</v>
      </c>
      <c r="X5" s="1">
        <f>W5</f>
        <v>4813.0800000000008</v>
      </c>
      <c r="Y5" s="1">
        <f t="shared" ref="Y5:BN5" si="12">X5</f>
        <v>4813.0800000000008</v>
      </c>
      <c r="Z5" s="1">
        <f t="shared" si="12"/>
        <v>4813.0800000000008</v>
      </c>
      <c r="AA5" s="1">
        <f t="shared" si="12"/>
        <v>4813.0800000000008</v>
      </c>
      <c r="AB5" s="1">
        <f t="shared" si="12"/>
        <v>4813.0800000000008</v>
      </c>
      <c r="AC5" s="1">
        <f t="shared" si="12"/>
        <v>4813.0800000000008</v>
      </c>
      <c r="AD5" s="1">
        <f t="shared" si="12"/>
        <v>4813.0800000000008</v>
      </c>
      <c r="AE5" s="1">
        <f t="shared" si="12"/>
        <v>4813.0800000000008</v>
      </c>
      <c r="AF5" s="1">
        <f t="shared" si="12"/>
        <v>4813.0800000000008</v>
      </c>
      <c r="AG5" s="1">
        <f t="shared" si="12"/>
        <v>4813.0800000000008</v>
      </c>
      <c r="AH5" s="1">
        <f t="shared" si="12"/>
        <v>4813.0800000000008</v>
      </c>
      <c r="AI5" s="1">
        <f t="shared" si="12"/>
        <v>4813.0800000000008</v>
      </c>
      <c r="AJ5" s="1">
        <f t="shared" si="12"/>
        <v>4813.0800000000008</v>
      </c>
      <c r="AK5" s="1">
        <f t="shared" si="12"/>
        <v>4813.0800000000008</v>
      </c>
      <c r="AL5" s="1">
        <f t="shared" si="12"/>
        <v>4813.0800000000008</v>
      </c>
      <c r="AM5" s="1">
        <f t="shared" si="12"/>
        <v>4813.0800000000008</v>
      </c>
      <c r="AN5" s="1">
        <f t="shared" si="12"/>
        <v>4813.0800000000008</v>
      </c>
      <c r="AO5" s="1">
        <f t="shared" si="12"/>
        <v>4813.0800000000008</v>
      </c>
      <c r="AP5" s="1">
        <f t="shared" si="12"/>
        <v>4813.0800000000008</v>
      </c>
      <c r="AQ5" s="1">
        <f t="shared" si="12"/>
        <v>4813.0800000000008</v>
      </c>
      <c r="AR5" s="1">
        <f t="shared" si="12"/>
        <v>4813.0800000000008</v>
      </c>
      <c r="AS5" s="1">
        <f t="shared" si="12"/>
        <v>4813.0800000000008</v>
      </c>
      <c r="AT5" s="1">
        <f t="shared" si="12"/>
        <v>4813.0800000000008</v>
      </c>
      <c r="AU5" s="1">
        <f t="shared" si="12"/>
        <v>4813.0800000000008</v>
      </c>
      <c r="AV5" s="1">
        <f t="shared" si="12"/>
        <v>4813.0800000000008</v>
      </c>
      <c r="AW5" s="1">
        <f t="shared" si="12"/>
        <v>4813.0800000000008</v>
      </c>
      <c r="AX5" s="1">
        <f t="shared" si="12"/>
        <v>4813.0800000000008</v>
      </c>
      <c r="AY5" s="1">
        <f t="shared" si="12"/>
        <v>4813.0800000000008</v>
      </c>
      <c r="AZ5" s="1">
        <f t="shared" si="12"/>
        <v>4813.0800000000008</v>
      </c>
      <c r="BA5" s="1">
        <f t="shared" si="12"/>
        <v>4813.0800000000008</v>
      </c>
      <c r="BB5" s="1">
        <f t="shared" si="12"/>
        <v>4813.0800000000008</v>
      </c>
      <c r="BC5" s="1">
        <f t="shared" si="12"/>
        <v>4813.0800000000008</v>
      </c>
      <c r="BD5" s="1">
        <f t="shared" si="12"/>
        <v>4813.0800000000008</v>
      </c>
      <c r="BE5" s="1">
        <f t="shared" si="12"/>
        <v>4813.0800000000008</v>
      </c>
      <c r="BF5" s="1">
        <f t="shared" si="12"/>
        <v>4813.0800000000008</v>
      </c>
      <c r="BG5" s="1">
        <f t="shared" si="12"/>
        <v>4813.0800000000008</v>
      </c>
      <c r="BH5" s="1">
        <f t="shared" si="12"/>
        <v>4813.0800000000008</v>
      </c>
      <c r="BI5" s="1">
        <f t="shared" si="12"/>
        <v>4813.0800000000008</v>
      </c>
      <c r="BJ5" s="1">
        <f t="shared" si="12"/>
        <v>4813.0800000000008</v>
      </c>
      <c r="BK5" s="1">
        <f t="shared" si="12"/>
        <v>4813.0800000000008</v>
      </c>
      <c r="BL5" s="1">
        <f t="shared" si="12"/>
        <v>4813.0800000000008</v>
      </c>
      <c r="BM5" s="1">
        <f t="shared" si="12"/>
        <v>4813.0800000000008</v>
      </c>
      <c r="BN5" s="1">
        <f t="shared" si="12"/>
        <v>4813.0800000000008</v>
      </c>
      <c r="BO5" s="1">
        <f t="shared" ref="BO5:CB5" si="13">BN5</f>
        <v>4813.0800000000008</v>
      </c>
      <c r="BP5" s="1">
        <f t="shared" si="13"/>
        <v>4813.0800000000008</v>
      </c>
      <c r="BQ5" s="1">
        <f t="shared" si="13"/>
        <v>4813.0800000000008</v>
      </c>
      <c r="BR5" s="1">
        <f t="shared" si="13"/>
        <v>4813.0800000000008</v>
      </c>
      <c r="BS5" s="1">
        <f t="shared" si="13"/>
        <v>4813.0800000000008</v>
      </c>
      <c r="BT5" s="1">
        <f t="shared" si="13"/>
        <v>4813.0800000000008</v>
      </c>
      <c r="BU5" s="1">
        <f t="shared" si="13"/>
        <v>4813.0800000000008</v>
      </c>
      <c r="BV5" s="1">
        <f t="shared" si="13"/>
        <v>4813.0800000000008</v>
      </c>
      <c r="BW5" s="1">
        <f t="shared" si="13"/>
        <v>4813.0800000000008</v>
      </c>
      <c r="BX5" s="1">
        <f t="shared" si="13"/>
        <v>4813.0800000000008</v>
      </c>
      <c r="BY5" s="1">
        <f t="shared" si="13"/>
        <v>4813.0800000000008</v>
      </c>
      <c r="BZ5" s="1">
        <f t="shared" si="13"/>
        <v>4813.0800000000008</v>
      </c>
      <c r="CA5" s="1">
        <f t="shared" si="13"/>
        <v>4813.0800000000008</v>
      </c>
      <c r="CB5" s="1">
        <f t="shared" si="13"/>
        <v>4813.0800000000008</v>
      </c>
    </row>
    <row r="6" spans="1:80" x14ac:dyDescent="0.75">
      <c r="A6" t="s">
        <v>10</v>
      </c>
      <c r="B6" s="2">
        <f>B5*12</f>
        <v>49802.399999999994</v>
      </c>
      <c r="C6" s="2">
        <f t="shared" ref="C6:V6" si="14">C5*12</f>
        <v>49802.399999999994</v>
      </c>
      <c r="D6" s="2">
        <f t="shared" si="14"/>
        <v>65354.399999999994</v>
      </c>
      <c r="E6" s="2">
        <f t="shared" si="14"/>
        <v>75268.799999999988</v>
      </c>
      <c r="F6" s="2">
        <f t="shared" si="14"/>
        <v>88592.4</v>
      </c>
      <c r="G6" s="2">
        <f t="shared" si="14"/>
        <v>88592.4</v>
      </c>
      <c r="H6" s="2">
        <f t="shared" si="14"/>
        <v>92844</v>
      </c>
      <c r="I6" s="2">
        <f t="shared" si="14"/>
        <v>92844</v>
      </c>
      <c r="J6" s="2">
        <f t="shared" si="14"/>
        <v>97506</v>
      </c>
      <c r="K6" s="2">
        <f t="shared" si="14"/>
        <v>97506</v>
      </c>
      <c r="L6" s="2">
        <f t="shared" si="14"/>
        <v>100508.40000000001</v>
      </c>
      <c r="M6" s="2">
        <f t="shared" si="14"/>
        <v>113040</v>
      </c>
      <c r="N6" s="2">
        <f t="shared" si="14"/>
        <v>118659.59999999999</v>
      </c>
      <c r="O6" s="2">
        <f t="shared" si="14"/>
        <v>118659.59999999999</v>
      </c>
      <c r="P6" s="2">
        <f t="shared" si="14"/>
        <v>122572.79999999999</v>
      </c>
      <c r="Q6" s="2">
        <f t="shared" si="14"/>
        <v>122572.79999999999</v>
      </c>
      <c r="R6" s="2">
        <f t="shared" si="14"/>
        <v>124819.20000000001</v>
      </c>
      <c r="S6" s="2">
        <f t="shared" si="14"/>
        <v>124819.20000000001</v>
      </c>
      <c r="T6" s="2">
        <f t="shared" si="14"/>
        <v>140565.59999999998</v>
      </c>
      <c r="U6" s="2">
        <f t="shared" si="14"/>
        <v>140565.59999999998</v>
      </c>
      <c r="V6" s="2">
        <f t="shared" si="14"/>
        <v>144392.40000000002</v>
      </c>
      <c r="W6" s="2">
        <f t="shared" ref="W6:X6" si="15">W5*12</f>
        <v>57756.960000000006</v>
      </c>
      <c r="X6" s="2">
        <f t="shared" si="15"/>
        <v>57756.960000000006</v>
      </c>
      <c r="Y6" s="2">
        <f t="shared" ref="Y6" si="16">Y5*12</f>
        <v>57756.960000000006</v>
      </c>
      <c r="Z6" s="2">
        <f t="shared" ref="Z6" si="17">Z5*12</f>
        <v>57756.960000000006</v>
      </c>
      <c r="AA6" s="2">
        <f t="shared" ref="AA6" si="18">AA5*12</f>
        <v>57756.960000000006</v>
      </c>
      <c r="AB6" s="2">
        <f t="shared" ref="AB6" si="19">AB5*12</f>
        <v>57756.960000000006</v>
      </c>
      <c r="AC6" s="2">
        <f t="shared" ref="AC6" si="20">AC5*12</f>
        <v>57756.960000000006</v>
      </c>
      <c r="AD6" s="2">
        <f t="shared" ref="AD6" si="21">AD5*12</f>
        <v>57756.960000000006</v>
      </c>
      <c r="AE6" s="2">
        <f t="shared" ref="AE6" si="22">AE5*12</f>
        <v>57756.960000000006</v>
      </c>
      <c r="AF6" s="2">
        <f t="shared" ref="AF6" si="23">AF5*12</f>
        <v>57756.960000000006</v>
      </c>
      <c r="AG6" s="2">
        <f t="shared" ref="AG6" si="24">AG5*12</f>
        <v>57756.960000000006</v>
      </c>
      <c r="AH6" s="2">
        <f t="shared" ref="AH6" si="25">AH5*12</f>
        <v>57756.960000000006</v>
      </c>
      <c r="AI6" s="2">
        <f t="shared" ref="AI6" si="26">AI5*12</f>
        <v>57756.960000000006</v>
      </c>
      <c r="AJ6" s="2">
        <f t="shared" ref="AJ6" si="27">AJ5*12</f>
        <v>57756.960000000006</v>
      </c>
      <c r="AK6" s="2">
        <f t="shared" ref="AK6" si="28">AK5*12</f>
        <v>57756.960000000006</v>
      </c>
      <c r="AL6" s="2">
        <f t="shared" ref="AL6" si="29">AL5*12</f>
        <v>57756.960000000006</v>
      </c>
      <c r="AM6" s="2">
        <f t="shared" ref="AM6" si="30">AM5*12</f>
        <v>57756.960000000006</v>
      </c>
      <c r="AN6" s="2">
        <f t="shared" ref="AN6" si="31">AN5*12</f>
        <v>57756.960000000006</v>
      </c>
      <c r="AO6" s="2">
        <f t="shared" ref="AO6" si="32">AO5*12</f>
        <v>57756.960000000006</v>
      </c>
      <c r="AP6" s="2">
        <f t="shared" ref="AP6" si="33">AP5*12</f>
        <v>57756.960000000006</v>
      </c>
      <c r="AQ6" s="2">
        <f t="shared" ref="AQ6" si="34">AQ5*12</f>
        <v>57756.960000000006</v>
      </c>
      <c r="AR6" s="2">
        <f t="shared" ref="AR6" si="35">AR5*12</f>
        <v>57756.960000000006</v>
      </c>
      <c r="AS6" s="2">
        <f t="shared" ref="AS6" si="36">AS5*12</f>
        <v>57756.960000000006</v>
      </c>
      <c r="AT6" s="2">
        <f t="shared" ref="AT6" si="37">AT5*12</f>
        <v>57756.960000000006</v>
      </c>
      <c r="AU6" s="2">
        <f t="shared" ref="AU6" si="38">AU5*12</f>
        <v>57756.960000000006</v>
      </c>
      <c r="AV6" s="2">
        <f t="shared" ref="AV6" si="39">AV5*12</f>
        <v>57756.960000000006</v>
      </c>
      <c r="AW6" s="2">
        <f t="shared" ref="AW6" si="40">AW5*12</f>
        <v>57756.960000000006</v>
      </c>
      <c r="AX6" s="2">
        <f t="shared" ref="AX6" si="41">AX5*12</f>
        <v>57756.960000000006</v>
      </c>
      <c r="AY6" s="2">
        <f t="shared" ref="AY6" si="42">AY5*12</f>
        <v>57756.960000000006</v>
      </c>
      <c r="AZ6" s="2">
        <f t="shared" ref="AZ6" si="43">AZ5*12</f>
        <v>57756.960000000006</v>
      </c>
      <c r="BA6" s="2">
        <f t="shared" ref="BA6" si="44">BA5*12</f>
        <v>57756.960000000006</v>
      </c>
      <c r="BB6" s="2">
        <f t="shared" ref="BB6" si="45">BB5*12</f>
        <v>57756.960000000006</v>
      </c>
      <c r="BC6" s="2">
        <f t="shared" ref="BC6" si="46">BC5*12</f>
        <v>57756.960000000006</v>
      </c>
      <c r="BD6" s="2">
        <f t="shared" ref="BD6" si="47">BD5*12</f>
        <v>57756.960000000006</v>
      </c>
      <c r="BE6" s="2">
        <f t="shared" ref="BE6" si="48">BE5*12</f>
        <v>57756.960000000006</v>
      </c>
      <c r="BF6" s="2">
        <f t="shared" ref="BF6" si="49">BF5*12</f>
        <v>57756.960000000006</v>
      </c>
      <c r="BG6" s="2">
        <f t="shared" ref="BG6" si="50">BG5*12</f>
        <v>57756.960000000006</v>
      </c>
      <c r="BH6" s="2">
        <f t="shared" ref="BH6" si="51">BH5*12</f>
        <v>57756.960000000006</v>
      </c>
      <c r="BI6" s="2">
        <f t="shared" ref="BI6" si="52">BI5*12</f>
        <v>57756.960000000006</v>
      </c>
      <c r="BJ6" s="2">
        <f t="shared" ref="BJ6" si="53">BJ5*12</f>
        <v>57756.960000000006</v>
      </c>
      <c r="BK6" s="2">
        <f t="shared" ref="BK6" si="54">BK5*12</f>
        <v>57756.960000000006</v>
      </c>
      <c r="BL6" s="2">
        <f t="shared" ref="BL6" si="55">BL5*12</f>
        <v>57756.960000000006</v>
      </c>
      <c r="BM6" s="2">
        <f t="shared" ref="BM6" si="56">BM5*12</f>
        <v>57756.960000000006</v>
      </c>
      <c r="BN6" s="2">
        <f t="shared" ref="BN6" si="57">BN5*12</f>
        <v>57756.960000000006</v>
      </c>
      <c r="BO6" s="2">
        <f t="shared" ref="BO6" si="58">BO5*12</f>
        <v>57756.960000000006</v>
      </c>
      <c r="BP6" s="2">
        <f t="shared" ref="BP6" si="59">BP5*12</f>
        <v>57756.960000000006</v>
      </c>
      <c r="BQ6" s="2">
        <f t="shared" ref="BQ6" si="60">BQ5*12</f>
        <v>57756.960000000006</v>
      </c>
      <c r="BR6" s="2">
        <f t="shared" ref="BR6" si="61">BR5*12</f>
        <v>57756.960000000006</v>
      </c>
      <c r="BS6" s="2">
        <f t="shared" ref="BS6" si="62">BS5*12</f>
        <v>57756.960000000006</v>
      </c>
      <c r="BT6" s="2">
        <f t="shared" ref="BT6" si="63">BT5*12</f>
        <v>57756.960000000006</v>
      </c>
      <c r="BU6" s="2">
        <f t="shared" ref="BU6" si="64">BU5*12</f>
        <v>57756.960000000006</v>
      </c>
      <c r="BV6" s="2">
        <f t="shared" ref="BV6" si="65">BV5*12</f>
        <v>57756.960000000006</v>
      </c>
      <c r="BW6" s="2">
        <f t="shared" ref="BW6" si="66">BW5*12</f>
        <v>57756.960000000006</v>
      </c>
      <c r="BX6" s="2">
        <f t="shared" ref="BX6" si="67">BX5*12</f>
        <v>57756.960000000006</v>
      </c>
      <c r="BY6" s="2">
        <f t="shared" ref="BY6" si="68">BY5*12</f>
        <v>57756.960000000006</v>
      </c>
      <c r="BZ6" s="2">
        <f t="shared" ref="BZ6" si="69">BZ5*12</f>
        <v>57756.960000000006</v>
      </c>
      <c r="CA6" s="2">
        <f t="shared" ref="CA6" si="70">CA5*12</f>
        <v>57756.960000000006</v>
      </c>
      <c r="CB6" s="2">
        <f t="shared" ref="CB6" si="71">CB5*12</f>
        <v>57756.960000000006</v>
      </c>
    </row>
    <row r="7" spans="1:80" x14ac:dyDescent="0.75">
      <c r="A7" s="3" t="s">
        <v>11</v>
      </c>
      <c r="B7" s="6">
        <v>1569</v>
      </c>
      <c r="C7" s="6">
        <v>1569</v>
      </c>
      <c r="D7" s="6">
        <v>1686</v>
      </c>
      <c r="E7" s="6">
        <v>1686</v>
      </c>
      <c r="F7" s="6">
        <v>1884</v>
      </c>
      <c r="G7" s="6">
        <v>1884</v>
      </c>
      <c r="H7" s="6">
        <v>1884</v>
      </c>
      <c r="I7" s="6">
        <v>1884</v>
      </c>
      <c r="J7" s="6">
        <v>1884</v>
      </c>
      <c r="K7" s="6">
        <v>1884</v>
      </c>
      <c r="L7" s="6">
        <v>1884</v>
      </c>
      <c r="M7" s="6">
        <v>2139</v>
      </c>
      <c r="N7" s="6">
        <v>2139</v>
      </c>
      <c r="O7" s="6">
        <v>2139</v>
      </c>
      <c r="P7" s="6">
        <v>2139</v>
      </c>
      <c r="Q7" s="6">
        <v>2139</v>
      </c>
      <c r="R7" s="6">
        <v>2139</v>
      </c>
      <c r="S7" s="6">
        <v>2139</v>
      </c>
      <c r="T7" s="6">
        <v>2247</v>
      </c>
      <c r="U7" s="6">
        <v>2247</v>
      </c>
      <c r="V7" s="6">
        <v>2247</v>
      </c>
    </row>
    <row r="8" spans="1:80" x14ac:dyDescent="0.75">
      <c r="A8" s="4" t="s">
        <v>12</v>
      </c>
      <c r="B8" s="6">
        <v>1749</v>
      </c>
      <c r="C8" s="6">
        <v>1749</v>
      </c>
      <c r="D8" s="6">
        <v>1986</v>
      </c>
      <c r="E8" s="6">
        <v>1986</v>
      </c>
      <c r="F8" s="6">
        <v>2385</v>
      </c>
      <c r="G8" s="6">
        <v>2385</v>
      </c>
      <c r="H8" s="6">
        <v>2385</v>
      </c>
      <c r="I8" s="6">
        <v>2385</v>
      </c>
      <c r="J8" s="6">
        <v>2385</v>
      </c>
      <c r="K8" s="6">
        <v>2385</v>
      </c>
      <c r="L8" s="6">
        <v>2385</v>
      </c>
      <c r="M8" s="6">
        <v>2742</v>
      </c>
      <c r="N8" s="6">
        <v>2742</v>
      </c>
      <c r="O8" s="6">
        <v>2742</v>
      </c>
      <c r="P8" s="6">
        <v>2742</v>
      </c>
      <c r="Q8" s="6">
        <v>2742</v>
      </c>
      <c r="R8" s="6">
        <v>2742</v>
      </c>
      <c r="S8" s="6">
        <v>2742</v>
      </c>
      <c r="T8" s="6">
        <v>2994</v>
      </c>
      <c r="U8" s="6">
        <v>2994</v>
      </c>
      <c r="V8" s="6">
        <v>2994</v>
      </c>
    </row>
    <row r="9" spans="1:80" x14ac:dyDescent="0.75">
      <c r="A9" s="3" t="s">
        <v>13</v>
      </c>
      <c r="B9" s="2">
        <f>B6+B7*12</f>
        <v>68630.399999999994</v>
      </c>
      <c r="C9" s="2">
        <f t="shared" ref="C9:V9" si="72">C6+C7*12</f>
        <v>68630.399999999994</v>
      </c>
      <c r="D9" s="2">
        <f t="shared" si="72"/>
        <v>85586.4</v>
      </c>
      <c r="E9" s="2">
        <f t="shared" si="72"/>
        <v>95500.799999999988</v>
      </c>
      <c r="F9" s="2">
        <f t="shared" si="72"/>
        <v>111200.4</v>
      </c>
      <c r="G9" s="2">
        <f t="shared" si="72"/>
        <v>111200.4</v>
      </c>
      <c r="H9" s="2">
        <f t="shared" si="72"/>
        <v>115452</v>
      </c>
      <c r="I9" s="2">
        <f t="shared" si="72"/>
        <v>115452</v>
      </c>
      <c r="J9" s="2">
        <f t="shared" si="72"/>
        <v>120114</v>
      </c>
      <c r="K9" s="2">
        <f t="shared" si="72"/>
        <v>120114</v>
      </c>
      <c r="L9" s="2">
        <f t="shared" si="72"/>
        <v>123116.40000000001</v>
      </c>
      <c r="M9" s="2">
        <f t="shared" si="72"/>
        <v>138708</v>
      </c>
      <c r="N9" s="2">
        <f t="shared" si="72"/>
        <v>144327.59999999998</v>
      </c>
      <c r="O9" s="2">
        <f t="shared" si="72"/>
        <v>144327.59999999998</v>
      </c>
      <c r="P9" s="2">
        <f t="shared" si="72"/>
        <v>148240.79999999999</v>
      </c>
      <c r="Q9" s="2">
        <f t="shared" si="72"/>
        <v>148240.79999999999</v>
      </c>
      <c r="R9" s="2">
        <f t="shared" si="72"/>
        <v>150487.20000000001</v>
      </c>
      <c r="S9" s="2">
        <f t="shared" si="72"/>
        <v>150487.20000000001</v>
      </c>
      <c r="T9" s="2">
        <f t="shared" si="72"/>
        <v>167529.59999999998</v>
      </c>
      <c r="U9" s="2">
        <f t="shared" si="72"/>
        <v>167529.59999999998</v>
      </c>
      <c r="V9" s="2">
        <f t="shared" si="72"/>
        <v>171356.40000000002</v>
      </c>
      <c r="W9" s="2">
        <f>W6</f>
        <v>57756.960000000006</v>
      </c>
      <c r="X9" s="2">
        <f t="shared" ref="X9:BN9" si="73">X6</f>
        <v>57756.960000000006</v>
      </c>
      <c r="Y9" s="2">
        <f t="shared" si="73"/>
        <v>57756.960000000006</v>
      </c>
      <c r="Z9" s="2">
        <f t="shared" si="73"/>
        <v>57756.960000000006</v>
      </c>
      <c r="AA9" s="2">
        <f t="shared" si="73"/>
        <v>57756.960000000006</v>
      </c>
      <c r="AB9" s="2">
        <f t="shared" si="73"/>
        <v>57756.960000000006</v>
      </c>
      <c r="AC9" s="2">
        <f t="shared" si="73"/>
        <v>57756.960000000006</v>
      </c>
      <c r="AD9" s="2">
        <f t="shared" si="73"/>
        <v>57756.960000000006</v>
      </c>
      <c r="AE9" s="2">
        <f t="shared" si="73"/>
        <v>57756.960000000006</v>
      </c>
      <c r="AF9" s="2">
        <f t="shared" si="73"/>
        <v>57756.960000000006</v>
      </c>
      <c r="AG9" s="2">
        <f t="shared" si="73"/>
        <v>57756.960000000006</v>
      </c>
      <c r="AH9" s="2">
        <f t="shared" si="73"/>
        <v>57756.960000000006</v>
      </c>
      <c r="AI9" s="2">
        <f t="shared" si="73"/>
        <v>57756.960000000006</v>
      </c>
      <c r="AJ9" s="2">
        <f t="shared" si="73"/>
        <v>57756.960000000006</v>
      </c>
      <c r="AK9" s="2">
        <f t="shared" si="73"/>
        <v>57756.960000000006</v>
      </c>
      <c r="AL9" s="2">
        <f t="shared" si="73"/>
        <v>57756.960000000006</v>
      </c>
      <c r="AM9" s="2">
        <f t="shared" si="73"/>
        <v>57756.960000000006</v>
      </c>
      <c r="AN9" s="2">
        <f t="shared" si="73"/>
        <v>57756.960000000006</v>
      </c>
      <c r="AO9" s="2">
        <f t="shared" si="73"/>
        <v>57756.960000000006</v>
      </c>
      <c r="AP9" s="2">
        <f t="shared" si="73"/>
        <v>57756.960000000006</v>
      </c>
      <c r="AQ9" s="2">
        <f t="shared" si="73"/>
        <v>57756.960000000006</v>
      </c>
      <c r="AR9" s="2">
        <f t="shared" si="73"/>
        <v>57756.960000000006</v>
      </c>
      <c r="AS9" s="2">
        <f t="shared" si="73"/>
        <v>57756.960000000006</v>
      </c>
      <c r="AT9" s="2">
        <f t="shared" si="73"/>
        <v>57756.960000000006</v>
      </c>
      <c r="AU9" s="2">
        <f t="shared" si="73"/>
        <v>57756.960000000006</v>
      </c>
      <c r="AV9" s="2">
        <f t="shared" si="73"/>
        <v>57756.960000000006</v>
      </c>
      <c r="AW9" s="2">
        <f t="shared" si="73"/>
        <v>57756.960000000006</v>
      </c>
      <c r="AX9" s="2">
        <f t="shared" si="73"/>
        <v>57756.960000000006</v>
      </c>
      <c r="AY9" s="2">
        <f t="shared" si="73"/>
        <v>57756.960000000006</v>
      </c>
      <c r="AZ9" s="2">
        <f t="shared" si="73"/>
        <v>57756.960000000006</v>
      </c>
      <c r="BA9" s="2">
        <f t="shared" si="73"/>
        <v>57756.960000000006</v>
      </c>
      <c r="BB9" s="2">
        <f t="shared" si="73"/>
        <v>57756.960000000006</v>
      </c>
      <c r="BC9" s="2">
        <f t="shared" si="73"/>
        <v>57756.960000000006</v>
      </c>
      <c r="BD9" s="2">
        <f t="shared" si="73"/>
        <v>57756.960000000006</v>
      </c>
      <c r="BE9" s="2">
        <f t="shared" si="73"/>
        <v>57756.960000000006</v>
      </c>
      <c r="BF9" s="2">
        <f t="shared" si="73"/>
        <v>57756.960000000006</v>
      </c>
      <c r="BG9" s="2">
        <f t="shared" si="73"/>
        <v>57756.960000000006</v>
      </c>
      <c r="BH9" s="2">
        <f t="shared" si="73"/>
        <v>57756.960000000006</v>
      </c>
      <c r="BI9" s="2">
        <f t="shared" si="73"/>
        <v>57756.960000000006</v>
      </c>
      <c r="BJ9" s="2">
        <f t="shared" si="73"/>
        <v>57756.960000000006</v>
      </c>
      <c r="BK9" s="2">
        <f t="shared" si="73"/>
        <v>57756.960000000006</v>
      </c>
      <c r="BL9" s="2">
        <f t="shared" si="73"/>
        <v>57756.960000000006</v>
      </c>
      <c r="BM9" s="2">
        <f t="shared" si="73"/>
        <v>57756.960000000006</v>
      </c>
      <c r="BN9" s="2">
        <f t="shared" si="73"/>
        <v>57756.960000000006</v>
      </c>
      <c r="BO9" s="2">
        <f t="shared" ref="BO9:CB9" si="74">BO6</f>
        <v>57756.960000000006</v>
      </c>
      <c r="BP9" s="2">
        <f t="shared" si="74"/>
        <v>57756.960000000006</v>
      </c>
      <c r="BQ9" s="2">
        <f t="shared" si="74"/>
        <v>57756.960000000006</v>
      </c>
      <c r="BR9" s="2">
        <f t="shared" si="74"/>
        <v>57756.960000000006</v>
      </c>
      <c r="BS9" s="2">
        <f t="shared" si="74"/>
        <v>57756.960000000006</v>
      </c>
      <c r="BT9" s="2">
        <f t="shared" si="74"/>
        <v>57756.960000000006</v>
      </c>
      <c r="BU9" s="2">
        <f t="shared" si="74"/>
        <v>57756.960000000006</v>
      </c>
      <c r="BV9" s="2">
        <f t="shared" si="74"/>
        <v>57756.960000000006</v>
      </c>
      <c r="BW9" s="2">
        <f t="shared" si="74"/>
        <v>57756.960000000006</v>
      </c>
      <c r="BX9" s="2">
        <f t="shared" si="74"/>
        <v>57756.960000000006</v>
      </c>
      <c r="BY9" s="2">
        <f t="shared" si="74"/>
        <v>57756.960000000006</v>
      </c>
      <c r="BZ9" s="2">
        <f t="shared" si="74"/>
        <v>57756.960000000006</v>
      </c>
      <c r="CA9" s="2">
        <f t="shared" si="74"/>
        <v>57756.960000000006</v>
      </c>
      <c r="CB9" s="2">
        <f t="shared" si="74"/>
        <v>57756.960000000006</v>
      </c>
    </row>
    <row r="10" spans="1:80" x14ac:dyDescent="0.75">
      <c r="A10" s="4" t="s">
        <v>14</v>
      </c>
      <c r="B10" s="2">
        <f>B6+B8*12</f>
        <v>70790.399999999994</v>
      </c>
      <c r="C10" s="2">
        <f t="shared" ref="C10:V10" si="75">C6+C8*12</f>
        <v>70790.399999999994</v>
      </c>
      <c r="D10" s="2">
        <f t="shared" si="75"/>
        <v>89186.4</v>
      </c>
      <c r="E10" s="2">
        <f t="shared" si="75"/>
        <v>99100.799999999988</v>
      </c>
      <c r="F10" s="2">
        <f t="shared" si="75"/>
        <v>117212.4</v>
      </c>
      <c r="G10" s="2">
        <f t="shared" si="75"/>
        <v>117212.4</v>
      </c>
      <c r="H10" s="2">
        <f t="shared" si="75"/>
        <v>121464</v>
      </c>
      <c r="I10" s="2">
        <f t="shared" si="75"/>
        <v>121464</v>
      </c>
      <c r="J10" s="2">
        <f t="shared" si="75"/>
        <v>126126</v>
      </c>
      <c r="K10" s="2">
        <f t="shared" si="75"/>
        <v>126126</v>
      </c>
      <c r="L10" s="2">
        <f t="shared" si="75"/>
        <v>129128.40000000001</v>
      </c>
      <c r="M10" s="2">
        <f t="shared" si="75"/>
        <v>145944</v>
      </c>
      <c r="N10" s="2">
        <f t="shared" si="75"/>
        <v>151563.59999999998</v>
      </c>
      <c r="O10" s="2">
        <f t="shared" si="75"/>
        <v>151563.59999999998</v>
      </c>
      <c r="P10" s="2">
        <f t="shared" si="75"/>
        <v>155476.79999999999</v>
      </c>
      <c r="Q10" s="2">
        <f t="shared" si="75"/>
        <v>155476.79999999999</v>
      </c>
      <c r="R10" s="2">
        <f t="shared" si="75"/>
        <v>157723.20000000001</v>
      </c>
      <c r="S10" s="2">
        <f t="shared" si="75"/>
        <v>157723.20000000001</v>
      </c>
      <c r="T10" s="2">
        <f t="shared" si="75"/>
        <v>176493.59999999998</v>
      </c>
      <c r="U10" s="2">
        <f t="shared" si="75"/>
        <v>176493.59999999998</v>
      </c>
      <c r="V10" s="2">
        <f t="shared" si="75"/>
        <v>180320.40000000002</v>
      </c>
      <c r="W10" s="2">
        <f>W9</f>
        <v>57756.960000000006</v>
      </c>
      <c r="X10" s="2">
        <f t="shared" ref="X10:BN10" si="76">X9</f>
        <v>57756.960000000006</v>
      </c>
      <c r="Y10" s="2">
        <f t="shared" si="76"/>
        <v>57756.960000000006</v>
      </c>
      <c r="Z10" s="2">
        <f t="shared" si="76"/>
        <v>57756.960000000006</v>
      </c>
      <c r="AA10" s="2">
        <f t="shared" si="76"/>
        <v>57756.960000000006</v>
      </c>
      <c r="AB10" s="2">
        <f t="shared" si="76"/>
        <v>57756.960000000006</v>
      </c>
      <c r="AC10" s="2">
        <f t="shared" si="76"/>
        <v>57756.960000000006</v>
      </c>
      <c r="AD10" s="2">
        <f t="shared" si="76"/>
        <v>57756.960000000006</v>
      </c>
      <c r="AE10" s="2">
        <f t="shared" si="76"/>
        <v>57756.960000000006</v>
      </c>
      <c r="AF10" s="2">
        <f t="shared" si="76"/>
        <v>57756.960000000006</v>
      </c>
      <c r="AG10" s="2">
        <f t="shared" si="76"/>
        <v>57756.960000000006</v>
      </c>
      <c r="AH10" s="2">
        <f t="shared" si="76"/>
        <v>57756.960000000006</v>
      </c>
      <c r="AI10" s="2">
        <f t="shared" si="76"/>
        <v>57756.960000000006</v>
      </c>
      <c r="AJ10" s="2">
        <f t="shared" si="76"/>
        <v>57756.960000000006</v>
      </c>
      <c r="AK10" s="2">
        <f t="shared" si="76"/>
        <v>57756.960000000006</v>
      </c>
      <c r="AL10" s="2">
        <f t="shared" si="76"/>
        <v>57756.960000000006</v>
      </c>
      <c r="AM10" s="2">
        <f t="shared" si="76"/>
        <v>57756.960000000006</v>
      </c>
      <c r="AN10" s="2">
        <f t="shared" si="76"/>
        <v>57756.960000000006</v>
      </c>
      <c r="AO10" s="2">
        <f t="shared" si="76"/>
        <v>57756.960000000006</v>
      </c>
      <c r="AP10" s="2">
        <f t="shared" si="76"/>
        <v>57756.960000000006</v>
      </c>
      <c r="AQ10" s="2">
        <f t="shared" si="76"/>
        <v>57756.960000000006</v>
      </c>
      <c r="AR10" s="2">
        <f t="shared" si="76"/>
        <v>57756.960000000006</v>
      </c>
      <c r="AS10" s="2">
        <f t="shared" si="76"/>
        <v>57756.960000000006</v>
      </c>
      <c r="AT10" s="2">
        <f t="shared" si="76"/>
        <v>57756.960000000006</v>
      </c>
      <c r="AU10" s="2">
        <f t="shared" si="76"/>
        <v>57756.960000000006</v>
      </c>
      <c r="AV10" s="2">
        <f t="shared" si="76"/>
        <v>57756.960000000006</v>
      </c>
      <c r="AW10" s="2">
        <f t="shared" si="76"/>
        <v>57756.960000000006</v>
      </c>
      <c r="AX10" s="2">
        <f t="shared" si="76"/>
        <v>57756.960000000006</v>
      </c>
      <c r="AY10" s="2">
        <f t="shared" si="76"/>
        <v>57756.960000000006</v>
      </c>
      <c r="AZ10" s="2">
        <f t="shared" si="76"/>
        <v>57756.960000000006</v>
      </c>
      <c r="BA10" s="2">
        <f t="shared" si="76"/>
        <v>57756.960000000006</v>
      </c>
      <c r="BB10" s="2">
        <f t="shared" si="76"/>
        <v>57756.960000000006</v>
      </c>
      <c r="BC10" s="2">
        <f t="shared" si="76"/>
        <v>57756.960000000006</v>
      </c>
      <c r="BD10" s="2">
        <f t="shared" si="76"/>
        <v>57756.960000000006</v>
      </c>
      <c r="BE10" s="2">
        <f t="shared" si="76"/>
        <v>57756.960000000006</v>
      </c>
      <c r="BF10" s="2">
        <f t="shared" si="76"/>
        <v>57756.960000000006</v>
      </c>
      <c r="BG10" s="2">
        <f t="shared" si="76"/>
        <v>57756.960000000006</v>
      </c>
      <c r="BH10" s="2">
        <f t="shared" si="76"/>
        <v>57756.960000000006</v>
      </c>
      <c r="BI10" s="2">
        <f t="shared" si="76"/>
        <v>57756.960000000006</v>
      </c>
      <c r="BJ10" s="2">
        <f t="shared" si="76"/>
        <v>57756.960000000006</v>
      </c>
      <c r="BK10" s="2">
        <f t="shared" si="76"/>
        <v>57756.960000000006</v>
      </c>
      <c r="BL10" s="2">
        <f t="shared" si="76"/>
        <v>57756.960000000006</v>
      </c>
      <c r="BM10" s="2">
        <f t="shared" si="76"/>
        <v>57756.960000000006</v>
      </c>
      <c r="BN10" s="2">
        <f t="shared" si="76"/>
        <v>57756.960000000006</v>
      </c>
      <c r="BO10" s="2">
        <f t="shared" ref="BO10" si="77">BO9</f>
        <v>57756.960000000006</v>
      </c>
      <c r="BP10" s="2">
        <f t="shared" ref="BP10" si="78">BP9</f>
        <v>57756.960000000006</v>
      </c>
      <c r="BQ10" s="2">
        <f t="shared" ref="BQ10" si="79">BQ9</f>
        <v>57756.960000000006</v>
      </c>
      <c r="BR10" s="2">
        <f t="shared" ref="BR10" si="80">BR9</f>
        <v>57756.960000000006</v>
      </c>
      <c r="BS10" s="2">
        <f t="shared" ref="BS10" si="81">BS9</f>
        <v>57756.960000000006</v>
      </c>
      <c r="BT10" s="2">
        <f t="shared" ref="BT10" si="82">BT9</f>
        <v>57756.960000000006</v>
      </c>
      <c r="BU10" s="2">
        <f t="shared" ref="BU10" si="83">BU9</f>
        <v>57756.960000000006</v>
      </c>
      <c r="BV10" s="2">
        <f t="shared" ref="BV10" si="84">BV9</f>
        <v>57756.960000000006</v>
      </c>
      <c r="BW10" s="2">
        <f t="shared" ref="BW10" si="85">BW9</f>
        <v>57756.960000000006</v>
      </c>
      <c r="BX10" s="2">
        <f t="shared" ref="BX10" si="86">BX9</f>
        <v>57756.960000000006</v>
      </c>
      <c r="BY10" s="2">
        <f t="shared" ref="BY10" si="87">BY9</f>
        <v>57756.960000000006</v>
      </c>
      <c r="BZ10" s="2">
        <f t="shared" ref="BZ10" si="88">BZ9</f>
        <v>57756.960000000006</v>
      </c>
      <c r="CA10" s="2">
        <f t="shared" ref="CA10" si="89">CA9</f>
        <v>57756.960000000006</v>
      </c>
      <c r="CB10" s="2">
        <f t="shared" ref="CB10" si="90">CB9</f>
        <v>57756.960000000006</v>
      </c>
    </row>
    <row r="11" spans="1:80" x14ac:dyDescent="0.75">
      <c r="A11" t="s">
        <v>109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80" x14ac:dyDescent="0.75">
      <c r="A12" t="s">
        <v>15</v>
      </c>
    </row>
    <row r="13" spans="1:80" x14ac:dyDescent="0.75">
      <c r="A13" t="s">
        <v>110</v>
      </c>
      <c r="B13" s="5">
        <v>7.0000000000000007E-2</v>
      </c>
    </row>
    <row r="15" spans="1:80" x14ac:dyDescent="0.75">
      <c r="A15" s="3" t="s">
        <v>16</v>
      </c>
      <c r="B15" s="2">
        <f>B9*(1-$B$13)</f>
        <v>63826.27199999999</v>
      </c>
      <c r="C15" s="2">
        <f t="shared" ref="C15:V15" si="91">C9*(1-$B$13)</f>
        <v>63826.27199999999</v>
      </c>
      <c r="D15" s="2">
        <f t="shared" si="91"/>
        <v>79595.351999999984</v>
      </c>
      <c r="E15" s="2">
        <f t="shared" si="91"/>
        <v>88815.743999999977</v>
      </c>
      <c r="F15" s="2">
        <f t="shared" si="91"/>
        <v>103416.37199999999</v>
      </c>
      <c r="G15" s="2">
        <f t="shared" si="91"/>
        <v>103416.37199999999</v>
      </c>
      <c r="H15" s="2">
        <f t="shared" si="91"/>
        <v>107370.35999999999</v>
      </c>
      <c r="I15" s="2">
        <f t="shared" si="91"/>
        <v>107370.35999999999</v>
      </c>
      <c r="J15" s="2">
        <f t="shared" si="91"/>
        <v>111706.01999999999</v>
      </c>
      <c r="K15" s="2">
        <f t="shared" si="91"/>
        <v>111706.01999999999</v>
      </c>
      <c r="L15" s="2">
        <f t="shared" si="91"/>
        <v>114498.25200000001</v>
      </c>
      <c r="M15" s="2">
        <f t="shared" si="91"/>
        <v>128998.43999999999</v>
      </c>
      <c r="N15" s="2">
        <f t="shared" si="91"/>
        <v>134224.66799999998</v>
      </c>
      <c r="O15" s="2">
        <f t="shared" si="91"/>
        <v>134224.66799999998</v>
      </c>
      <c r="P15" s="2">
        <f t="shared" si="91"/>
        <v>137863.94399999999</v>
      </c>
      <c r="Q15" s="2">
        <f t="shared" si="91"/>
        <v>137863.94399999999</v>
      </c>
      <c r="R15" s="2">
        <f t="shared" si="91"/>
        <v>139953.09599999999</v>
      </c>
      <c r="S15" s="2">
        <f t="shared" si="91"/>
        <v>139953.09599999999</v>
      </c>
      <c r="T15" s="2">
        <f t="shared" si="91"/>
        <v>155802.52799999996</v>
      </c>
      <c r="U15" s="2">
        <f t="shared" si="91"/>
        <v>155802.52799999996</v>
      </c>
      <c r="V15" s="2">
        <f t="shared" si="91"/>
        <v>159361.45200000002</v>
      </c>
      <c r="W15" s="2">
        <f>W9*(1-$B$13)</f>
        <v>53713.972800000003</v>
      </c>
      <c r="X15" s="2">
        <f t="shared" ref="X15:BN15" si="92">X9*(1-$B$13)</f>
        <v>53713.972800000003</v>
      </c>
      <c r="Y15" s="2">
        <f t="shared" si="92"/>
        <v>53713.972800000003</v>
      </c>
      <c r="Z15" s="2">
        <f t="shared" si="92"/>
        <v>53713.972800000003</v>
      </c>
      <c r="AA15" s="2">
        <f t="shared" si="92"/>
        <v>53713.972800000003</v>
      </c>
      <c r="AB15" s="2">
        <f t="shared" si="92"/>
        <v>53713.972800000003</v>
      </c>
      <c r="AC15" s="2">
        <f t="shared" si="92"/>
        <v>53713.972800000003</v>
      </c>
      <c r="AD15" s="2">
        <f t="shared" si="92"/>
        <v>53713.972800000003</v>
      </c>
      <c r="AE15" s="2">
        <f t="shared" si="92"/>
        <v>53713.972800000003</v>
      </c>
      <c r="AF15" s="2">
        <f t="shared" si="92"/>
        <v>53713.972800000003</v>
      </c>
      <c r="AG15" s="2">
        <f t="shared" si="92"/>
        <v>53713.972800000003</v>
      </c>
      <c r="AH15" s="2">
        <f t="shared" si="92"/>
        <v>53713.972800000003</v>
      </c>
      <c r="AI15" s="2">
        <f t="shared" si="92"/>
        <v>53713.972800000003</v>
      </c>
      <c r="AJ15" s="2">
        <f t="shared" si="92"/>
        <v>53713.972800000003</v>
      </c>
      <c r="AK15" s="2">
        <f t="shared" si="92"/>
        <v>53713.972800000003</v>
      </c>
      <c r="AL15" s="2">
        <f t="shared" si="92"/>
        <v>53713.972800000003</v>
      </c>
      <c r="AM15" s="2">
        <f t="shared" si="92"/>
        <v>53713.972800000003</v>
      </c>
      <c r="AN15" s="2">
        <f t="shared" si="92"/>
        <v>53713.972800000003</v>
      </c>
      <c r="AO15" s="2">
        <f t="shared" si="92"/>
        <v>53713.972800000003</v>
      </c>
      <c r="AP15" s="2">
        <f t="shared" si="92"/>
        <v>53713.972800000003</v>
      </c>
      <c r="AQ15" s="2">
        <f t="shared" si="92"/>
        <v>53713.972800000003</v>
      </c>
      <c r="AR15" s="2">
        <f t="shared" si="92"/>
        <v>53713.972800000003</v>
      </c>
      <c r="AS15" s="2">
        <f t="shared" si="92"/>
        <v>53713.972800000003</v>
      </c>
      <c r="AT15" s="2">
        <f t="shared" si="92"/>
        <v>53713.972800000003</v>
      </c>
      <c r="AU15" s="2">
        <f t="shared" si="92"/>
        <v>53713.972800000003</v>
      </c>
      <c r="AV15" s="2">
        <f t="shared" si="92"/>
        <v>53713.972800000003</v>
      </c>
      <c r="AW15" s="2">
        <f t="shared" si="92"/>
        <v>53713.972800000003</v>
      </c>
      <c r="AX15" s="2">
        <f t="shared" si="92"/>
        <v>53713.972800000003</v>
      </c>
      <c r="AY15" s="2">
        <f t="shared" si="92"/>
        <v>53713.972800000003</v>
      </c>
      <c r="AZ15" s="2">
        <f t="shared" si="92"/>
        <v>53713.972800000003</v>
      </c>
      <c r="BA15" s="2">
        <f t="shared" si="92"/>
        <v>53713.972800000003</v>
      </c>
      <c r="BB15" s="2">
        <f t="shared" si="92"/>
        <v>53713.972800000003</v>
      </c>
      <c r="BC15" s="2">
        <f t="shared" si="92"/>
        <v>53713.972800000003</v>
      </c>
      <c r="BD15" s="2">
        <f t="shared" si="92"/>
        <v>53713.972800000003</v>
      </c>
      <c r="BE15" s="2">
        <f t="shared" si="92"/>
        <v>53713.972800000003</v>
      </c>
      <c r="BF15" s="2">
        <f t="shared" si="92"/>
        <v>53713.972800000003</v>
      </c>
      <c r="BG15" s="2">
        <f t="shared" si="92"/>
        <v>53713.972800000003</v>
      </c>
      <c r="BH15" s="2">
        <f t="shared" si="92"/>
        <v>53713.972800000003</v>
      </c>
      <c r="BI15" s="2">
        <f t="shared" si="92"/>
        <v>53713.972800000003</v>
      </c>
      <c r="BJ15" s="2">
        <f t="shared" si="92"/>
        <v>53713.972800000003</v>
      </c>
      <c r="BK15" s="2">
        <f t="shared" si="92"/>
        <v>53713.972800000003</v>
      </c>
      <c r="BL15" s="2">
        <f t="shared" si="92"/>
        <v>53713.972800000003</v>
      </c>
      <c r="BM15" s="2">
        <f t="shared" si="92"/>
        <v>53713.972800000003</v>
      </c>
      <c r="BN15" s="2">
        <f t="shared" si="92"/>
        <v>53713.972800000003</v>
      </c>
      <c r="BO15" s="2">
        <f t="shared" ref="BO15:CB15" si="93">BO9*(1-$B$13)</f>
        <v>53713.972800000003</v>
      </c>
      <c r="BP15" s="2">
        <f t="shared" si="93"/>
        <v>53713.972800000003</v>
      </c>
      <c r="BQ15" s="2">
        <f t="shared" si="93"/>
        <v>53713.972800000003</v>
      </c>
      <c r="BR15" s="2">
        <f t="shared" si="93"/>
        <v>53713.972800000003</v>
      </c>
      <c r="BS15" s="2">
        <f t="shared" si="93"/>
        <v>53713.972800000003</v>
      </c>
      <c r="BT15" s="2">
        <f t="shared" si="93"/>
        <v>53713.972800000003</v>
      </c>
      <c r="BU15" s="2">
        <f t="shared" si="93"/>
        <v>53713.972800000003</v>
      </c>
      <c r="BV15" s="2">
        <f t="shared" si="93"/>
        <v>53713.972800000003</v>
      </c>
      <c r="BW15" s="2">
        <f t="shared" si="93"/>
        <v>53713.972800000003</v>
      </c>
      <c r="BX15" s="2">
        <f t="shared" si="93"/>
        <v>53713.972800000003</v>
      </c>
      <c r="BY15" s="2">
        <f t="shared" si="93"/>
        <v>53713.972800000003</v>
      </c>
      <c r="BZ15" s="2">
        <f t="shared" si="93"/>
        <v>53713.972800000003</v>
      </c>
      <c r="CA15" s="2">
        <f t="shared" si="93"/>
        <v>53713.972800000003</v>
      </c>
      <c r="CB15" s="2">
        <f t="shared" si="93"/>
        <v>53713.972800000003</v>
      </c>
    </row>
    <row r="16" spans="1:80" x14ac:dyDescent="0.75">
      <c r="A16" s="4" t="s">
        <v>16</v>
      </c>
      <c r="B16" s="2">
        <f>(B10+B11)*(1-$B$13)</f>
        <v>65835.071999999986</v>
      </c>
      <c r="C16" s="2">
        <f t="shared" ref="C16:BN16" si="94">(C10+C11)*(1-$B$13)</f>
        <v>65835.071999999986</v>
      </c>
      <c r="D16" s="2">
        <f t="shared" si="94"/>
        <v>82943.351999999984</v>
      </c>
      <c r="E16" s="2">
        <f t="shared" si="94"/>
        <v>92163.743999999977</v>
      </c>
      <c r="F16" s="2">
        <f t="shared" si="94"/>
        <v>109007.53199999999</v>
      </c>
      <c r="G16" s="2">
        <f t="shared" si="94"/>
        <v>109007.53199999999</v>
      </c>
      <c r="H16" s="2">
        <f t="shared" si="94"/>
        <v>112961.51999999999</v>
      </c>
      <c r="I16" s="2">
        <f t="shared" si="94"/>
        <v>112961.51999999999</v>
      </c>
      <c r="J16" s="2">
        <f t="shared" si="94"/>
        <v>117297.18</v>
      </c>
      <c r="K16" s="2">
        <f t="shared" si="94"/>
        <v>117297.18</v>
      </c>
      <c r="L16" s="2">
        <f t="shared" si="94"/>
        <v>120089.412</v>
      </c>
      <c r="M16" s="2">
        <f t="shared" si="94"/>
        <v>135727.91999999998</v>
      </c>
      <c r="N16" s="2">
        <f t="shared" si="94"/>
        <v>140954.14799999996</v>
      </c>
      <c r="O16" s="2">
        <f t="shared" si="94"/>
        <v>140954.14799999996</v>
      </c>
      <c r="P16" s="2">
        <f t="shared" si="94"/>
        <v>144593.42399999997</v>
      </c>
      <c r="Q16" s="2">
        <f t="shared" si="94"/>
        <v>144593.42399999997</v>
      </c>
      <c r="R16" s="2">
        <f t="shared" si="94"/>
        <v>146682.576</v>
      </c>
      <c r="S16" s="2">
        <f t="shared" si="94"/>
        <v>146682.576</v>
      </c>
      <c r="T16" s="2">
        <f t="shared" si="94"/>
        <v>164139.04799999998</v>
      </c>
      <c r="U16" s="2">
        <f t="shared" si="94"/>
        <v>164139.04799999998</v>
      </c>
      <c r="V16" s="2">
        <f t="shared" si="94"/>
        <v>167697.97200000001</v>
      </c>
      <c r="W16" s="2">
        <f t="shared" si="94"/>
        <v>53713.972800000003</v>
      </c>
      <c r="X16" s="2">
        <f t="shared" si="94"/>
        <v>53713.972800000003</v>
      </c>
      <c r="Y16" s="2">
        <f t="shared" si="94"/>
        <v>53713.972800000003</v>
      </c>
      <c r="Z16" s="2">
        <f t="shared" si="94"/>
        <v>53713.972800000003</v>
      </c>
      <c r="AA16" s="2">
        <f t="shared" si="94"/>
        <v>53713.972800000003</v>
      </c>
      <c r="AB16" s="2">
        <f t="shared" si="94"/>
        <v>53713.972800000003</v>
      </c>
      <c r="AC16" s="2">
        <f t="shared" si="94"/>
        <v>53713.972800000003</v>
      </c>
      <c r="AD16" s="2">
        <f t="shared" si="94"/>
        <v>53713.972800000003</v>
      </c>
      <c r="AE16" s="2">
        <f t="shared" si="94"/>
        <v>53713.972800000003</v>
      </c>
      <c r="AF16" s="2">
        <f t="shared" si="94"/>
        <v>53713.972800000003</v>
      </c>
      <c r="AG16" s="2">
        <f t="shared" si="94"/>
        <v>53713.972800000003</v>
      </c>
      <c r="AH16" s="2">
        <f t="shared" si="94"/>
        <v>53713.972800000003</v>
      </c>
      <c r="AI16" s="2">
        <f t="shared" si="94"/>
        <v>53713.972800000003</v>
      </c>
      <c r="AJ16" s="2">
        <f t="shared" si="94"/>
        <v>53713.972800000003</v>
      </c>
      <c r="AK16" s="2">
        <f t="shared" si="94"/>
        <v>53713.972800000003</v>
      </c>
      <c r="AL16" s="2">
        <f t="shared" si="94"/>
        <v>53713.972800000003</v>
      </c>
      <c r="AM16" s="2">
        <f t="shared" si="94"/>
        <v>53713.972800000003</v>
      </c>
      <c r="AN16" s="2">
        <f t="shared" si="94"/>
        <v>53713.972800000003</v>
      </c>
      <c r="AO16" s="2">
        <f t="shared" si="94"/>
        <v>53713.972800000003</v>
      </c>
      <c r="AP16" s="2">
        <f t="shared" si="94"/>
        <v>53713.972800000003</v>
      </c>
      <c r="AQ16" s="2">
        <f t="shared" si="94"/>
        <v>53713.972800000003</v>
      </c>
      <c r="AR16" s="2">
        <f t="shared" si="94"/>
        <v>53713.972800000003</v>
      </c>
      <c r="AS16" s="2">
        <f t="shared" si="94"/>
        <v>53713.972800000003</v>
      </c>
      <c r="AT16" s="2">
        <f t="shared" si="94"/>
        <v>53713.972800000003</v>
      </c>
      <c r="AU16" s="2">
        <f t="shared" si="94"/>
        <v>53713.972800000003</v>
      </c>
      <c r="AV16" s="2">
        <f t="shared" si="94"/>
        <v>53713.972800000003</v>
      </c>
      <c r="AW16" s="2">
        <f t="shared" si="94"/>
        <v>53713.972800000003</v>
      </c>
      <c r="AX16" s="2">
        <f t="shared" si="94"/>
        <v>53713.972800000003</v>
      </c>
      <c r="AY16" s="2">
        <f t="shared" si="94"/>
        <v>53713.972800000003</v>
      </c>
      <c r="AZ16" s="2">
        <f t="shared" si="94"/>
        <v>53713.972800000003</v>
      </c>
      <c r="BA16" s="2">
        <f t="shared" si="94"/>
        <v>53713.972800000003</v>
      </c>
      <c r="BB16" s="2">
        <f t="shared" si="94"/>
        <v>53713.972800000003</v>
      </c>
      <c r="BC16" s="2">
        <f t="shared" si="94"/>
        <v>53713.972800000003</v>
      </c>
      <c r="BD16" s="2">
        <f t="shared" si="94"/>
        <v>53713.972800000003</v>
      </c>
      <c r="BE16" s="2">
        <f t="shared" si="94"/>
        <v>53713.972800000003</v>
      </c>
      <c r="BF16" s="2">
        <f t="shared" si="94"/>
        <v>53713.972800000003</v>
      </c>
      <c r="BG16" s="2">
        <f t="shared" si="94"/>
        <v>53713.972800000003</v>
      </c>
      <c r="BH16" s="2">
        <f t="shared" si="94"/>
        <v>53713.972800000003</v>
      </c>
      <c r="BI16" s="2">
        <f t="shared" si="94"/>
        <v>53713.972800000003</v>
      </c>
      <c r="BJ16" s="2">
        <f t="shared" si="94"/>
        <v>53713.972800000003</v>
      </c>
      <c r="BK16" s="2">
        <f t="shared" si="94"/>
        <v>53713.972800000003</v>
      </c>
      <c r="BL16" s="2">
        <f t="shared" si="94"/>
        <v>53713.972800000003</v>
      </c>
      <c r="BM16" s="2">
        <f t="shared" si="94"/>
        <v>53713.972800000003</v>
      </c>
      <c r="BN16" s="2">
        <f t="shared" si="94"/>
        <v>53713.972800000003</v>
      </c>
      <c r="BO16" s="2">
        <f t="shared" ref="BO16:CB16" si="95">(BO10+BO11)*(1-$B$13)</f>
        <v>53713.972800000003</v>
      </c>
      <c r="BP16" s="2">
        <f t="shared" si="95"/>
        <v>53713.972800000003</v>
      </c>
      <c r="BQ16" s="2">
        <f t="shared" si="95"/>
        <v>53713.972800000003</v>
      </c>
      <c r="BR16" s="2">
        <f t="shared" si="95"/>
        <v>53713.972800000003</v>
      </c>
      <c r="BS16" s="2">
        <f t="shared" si="95"/>
        <v>53713.972800000003</v>
      </c>
      <c r="BT16" s="2">
        <f t="shared" si="95"/>
        <v>53713.972800000003</v>
      </c>
      <c r="BU16" s="2">
        <f t="shared" si="95"/>
        <v>53713.972800000003</v>
      </c>
      <c r="BV16" s="2">
        <f t="shared" si="95"/>
        <v>53713.972800000003</v>
      </c>
      <c r="BW16" s="2">
        <f t="shared" si="95"/>
        <v>53713.972800000003</v>
      </c>
      <c r="BX16" s="2">
        <f t="shared" si="95"/>
        <v>53713.972800000003</v>
      </c>
      <c r="BY16" s="2">
        <f t="shared" si="95"/>
        <v>53713.972800000003</v>
      </c>
      <c r="BZ16" s="2">
        <f t="shared" si="95"/>
        <v>53713.972800000003</v>
      </c>
      <c r="CA16" s="2">
        <f t="shared" si="95"/>
        <v>53713.972800000003</v>
      </c>
      <c r="CB16" s="2">
        <f t="shared" si="95"/>
        <v>53713.972800000003</v>
      </c>
    </row>
    <row r="18" spans="1:80" x14ac:dyDescent="0.75">
      <c r="A18" t="s">
        <v>17</v>
      </c>
      <c r="B18" s="1">
        <f>SUM(B19:B29)*12</f>
        <v>49200</v>
      </c>
      <c r="C18" s="1">
        <f t="shared" ref="C18:V18" si="96">SUM(C19:C29)*12</f>
        <v>51270</v>
      </c>
      <c r="D18" s="1">
        <f t="shared" si="96"/>
        <v>53443.5</v>
      </c>
      <c r="E18" s="1">
        <f t="shared" si="96"/>
        <v>55725.674999999996</v>
      </c>
      <c r="F18" s="1">
        <f t="shared" si="96"/>
        <v>58121.958750000005</v>
      </c>
      <c r="G18" s="1">
        <f t="shared" si="96"/>
        <v>52838.056687500008</v>
      </c>
      <c r="H18" s="1">
        <f t="shared" si="96"/>
        <v>55479.959521875004</v>
      </c>
      <c r="I18" s="1">
        <f t="shared" si="96"/>
        <v>58253.957497968775</v>
      </c>
      <c r="J18" s="1">
        <f t="shared" si="96"/>
        <v>61166.655372867215</v>
      </c>
      <c r="K18" s="1">
        <f t="shared" si="96"/>
        <v>64224.988141510563</v>
      </c>
      <c r="L18" s="1">
        <f t="shared" si="96"/>
        <v>67436.237548586098</v>
      </c>
      <c r="M18" s="1">
        <f t="shared" si="96"/>
        <v>70808.049426015408</v>
      </c>
      <c r="N18" s="1">
        <f t="shared" si="96"/>
        <v>74348.45189731619</v>
      </c>
      <c r="O18" s="1">
        <f t="shared" si="96"/>
        <v>78065.874492181989</v>
      </c>
      <c r="P18" s="1">
        <f t="shared" si="96"/>
        <v>81969.168216791106</v>
      </c>
      <c r="Q18" s="1">
        <f t="shared" si="96"/>
        <v>86067.626627630671</v>
      </c>
      <c r="R18" s="1">
        <f t="shared" si="96"/>
        <v>90371.007959012204</v>
      </c>
      <c r="S18" s="1">
        <f t="shared" si="96"/>
        <v>94889.558356962822</v>
      </c>
      <c r="T18" s="1">
        <f t="shared" si="96"/>
        <v>99634.036274810947</v>
      </c>
      <c r="U18" s="1">
        <f t="shared" si="96"/>
        <v>104615.7380885515</v>
      </c>
      <c r="V18" s="1">
        <f t="shared" si="96"/>
        <v>109846.52499297907</v>
      </c>
      <c r="W18" s="1">
        <f>V18</f>
        <v>109846.52499297907</v>
      </c>
      <c r="X18" s="1">
        <f t="shared" ref="X18:CB18" si="97">W18</f>
        <v>109846.52499297907</v>
      </c>
      <c r="Y18" s="1">
        <f t="shared" si="97"/>
        <v>109846.52499297907</v>
      </c>
      <c r="Z18" s="1">
        <f t="shared" si="97"/>
        <v>109846.52499297907</v>
      </c>
      <c r="AA18" s="1">
        <f t="shared" si="97"/>
        <v>109846.52499297907</v>
      </c>
      <c r="AB18" s="1">
        <f t="shared" si="97"/>
        <v>109846.52499297907</v>
      </c>
      <c r="AC18" s="1">
        <f t="shared" si="97"/>
        <v>109846.52499297907</v>
      </c>
      <c r="AD18" s="1">
        <f t="shared" si="97"/>
        <v>109846.52499297907</v>
      </c>
      <c r="AE18" s="1">
        <f t="shared" si="97"/>
        <v>109846.52499297907</v>
      </c>
      <c r="AF18" s="1">
        <f t="shared" si="97"/>
        <v>109846.52499297907</v>
      </c>
      <c r="AG18" s="1">
        <f t="shared" si="97"/>
        <v>109846.52499297907</v>
      </c>
      <c r="AH18" s="1">
        <f t="shared" si="97"/>
        <v>109846.52499297907</v>
      </c>
      <c r="AI18" s="1">
        <f t="shared" si="97"/>
        <v>109846.52499297907</v>
      </c>
      <c r="AJ18" s="1">
        <f t="shared" si="97"/>
        <v>109846.52499297907</v>
      </c>
      <c r="AK18" s="1">
        <f t="shared" si="97"/>
        <v>109846.52499297907</v>
      </c>
      <c r="AL18" s="1">
        <f t="shared" si="97"/>
        <v>109846.52499297907</v>
      </c>
      <c r="AM18" s="1">
        <f t="shared" si="97"/>
        <v>109846.52499297907</v>
      </c>
      <c r="AN18" s="1">
        <f t="shared" si="97"/>
        <v>109846.52499297907</v>
      </c>
      <c r="AO18" s="1">
        <f t="shared" si="97"/>
        <v>109846.52499297907</v>
      </c>
      <c r="AP18" s="1">
        <f t="shared" si="97"/>
        <v>109846.52499297907</v>
      </c>
      <c r="AQ18" s="1">
        <f t="shared" si="97"/>
        <v>109846.52499297907</v>
      </c>
      <c r="AR18" s="1">
        <f t="shared" si="97"/>
        <v>109846.52499297907</v>
      </c>
      <c r="AS18" s="1">
        <f t="shared" si="97"/>
        <v>109846.52499297907</v>
      </c>
      <c r="AT18" s="1">
        <f t="shared" si="97"/>
        <v>109846.52499297907</v>
      </c>
      <c r="AU18" s="1">
        <f t="shared" si="97"/>
        <v>109846.52499297907</v>
      </c>
      <c r="AV18" s="1">
        <f t="shared" si="97"/>
        <v>109846.52499297907</v>
      </c>
      <c r="AW18" s="1">
        <f t="shared" si="97"/>
        <v>109846.52499297907</v>
      </c>
      <c r="AX18" s="1">
        <f t="shared" si="97"/>
        <v>109846.52499297907</v>
      </c>
      <c r="AY18" s="1">
        <f t="shared" si="97"/>
        <v>109846.52499297907</v>
      </c>
      <c r="AZ18" s="1">
        <f t="shared" si="97"/>
        <v>109846.52499297907</v>
      </c>
      <c r="BA18" s="1">
        <f t="shared" si="97"/>
        <v>109846.52499297907</v>
      </c>
      <c r="BB18" s="1">
        <f t="shared" si="97"/>
        <v>109846.52499297907</v>
      </c>
      <c r="BC18" s="1">
        <f t="shared" si="97"/>
        <v>109846.52499297907</v>
      </c>
      <c r="BD18" s="1">
        <f t="shared" si="97"/>
        <v>109846.52499297907</v>
      </c>
      <c r="BE18" s="1">
        <f t="shared" si="97"/>
        <v>109846.52499297907</v>
      </c>
      <c r="BF18" s="1">
        <f t="shared" si="97"/>
        <v>109846.52499297907</v>
      </c>
      <c r="BG18" s="1">
        <f t="shared" si="97"/>
        <v>109846.52499297907</v>
      </c>
      <c r="BH18" s="1">
        <f t="shared" si="97"/>
        <v>109846.52499297907</v>
      </c>
      <c r="BI18" s="1">
        <f t="shared" si="97"/>
        <v>109846.52499297907</v>
      </c>
      <c r="BJ18" s="1">
        <f t="shared" si="97"/>
        <v>109846.52499297907</v>
      </c>
      <c r="BK18" s="1">
        <f t="shared" si="97"/>
        <v>109846.52499297907</v>
      </c>
      <c r="BL18" s="1">
        <f t="shared" si="97"/>
        <v>109846.52499297907</v>
      </c>
      <c r="BM18" s="1">
        <f t="shared" si="97"/>
        <v>109846.52499297907</v>
      </c>
      <c r="BN18" s="1">
        <f t="shared" si="97"/>
        <v>109846.52499297907</v>
      </c>
      <c r="BO18" s="1">
        <f t="shared" si="97"/>
        <v>109846.52499297907</v>
      </c>
      <c r="BP18" s="1">
        <f t="shared" si="97"/>
        <v>109846.52499297907</v>
      </c>
      <c r="BQ18" s="1">
        <f t="shared" si="97"/>
        <v>109846.52499297907</v>
      </c>
      <c r="BR18" s="1">
        <f t="shared" si="97"/>
        <v>109846.52499297907</v>
      </c>
      <c r="BS18" s="1">
        <f t="shared" si="97"/>
        <v>109846.52499297907</v>
      </c>
      <c r="BT18" s="1">
        <f t="shared" si="97"/>
        <v>109846.52499297907</v>
      </c>
      <c r="BU18" s="1">
        <f t="shared" si="97"/>
        <v>109846.52499297907</v>
      </c>
      <c r="BV18" s="1">
        <f t="shared" si="97"/>
        <v>109846.52499297907</v>
      </c>
      <c r="BW18" s="1">
        <f t="shared" si="97"/>
        <v>109846.52499297907</v>
      </c>
      <c r="BX18" s="1">
        <f t="shared" si="97"/>
        <v>109846.52499297907</v>
      </c>
      <c r="BY18" s="1">
        <f t="shared" si="97"/>
        <v>109846.52499297907</v>
      </c>
      <c r="BZ18" s="1">
        <f t="shared" si="97"/>
        <v>109846.52499297907</v>
      </c>
      <c r="CA18" s="1">
        <f t="shared" si="97"/>
        <v>109846.52499297907</v>
      </c>
      <c r="CB18" s="1">
        <f t="shared" si="97"/>
        <v>109846.52499297907</v>
      </c>
    </row>
    <row r="19" spans="1:80" x14ac:dyDescent="0.75">
      <c r="A19" s="9" t="s">
        <v>18</v>
      </c>
      <c r="B19" s="6">
        <v>750</v>
      </c>
      <c r="C19" s="1">
        <f t="shared" ref="C19:V19" si="98">B19*(1+$B$30)</f>
        <v>787.5</v>
      </c>
      <c r="D19" s="1">
        <f t="shared" si="98"/>
        <v>826.875</v>
      </c>
      <c r="E19" s="1">
        <f t="shared" si="98"/>
        <v>868.21875</v>
      </c>
      <c r="F19" s="1">
        <f t="shared" si="98"/>
        <v>911.62968750000005</v>
      </c>
      <c r="G19" s="1">
        <f t="shared" si="98"/>
        <v>957.2111718750001</v>
      </c>
      <c r="H19" s="1">
        <f t="shared" si="98"/>
        <v>1005.0717304687502</v>
      </c>
      <c r="I19" s="1">
        <f t="shared" si="98"/>
        <v>1055.3253169921877</v>
      </c>
      <c r="J19" s="1">
        <f t="shared" si="98"/>
        <v>1108.0915828417972</v>
      </c>
      <c r="K19" s="1">
        <f t="shared" si="98"/>
        <v>1163.4961619838871</v>
      </c>
      <c r="L19" s="1">
        <f t="shared" si="98"/>
        <v>1221.6709700830816</v>
      </c>
      <c r="M19" s="1">
        <f t="shared" si="98"/>
        <v>1282.7545185872357</v>
      </c>
      <c r="N19" s="1">
        <f t="shared" si="98"/>
        <v>1346.8922445165974</v>
      </c>
      <c r="O19" s="1">
        <f t="shared" si="98"/>
        <v>1414.2368567424273</v>
      </c>
      <c r="P19" s="1">
        <f t="shared" si="98"/>
        <v>1484.9486995795487</v>
      </c>
      <c r="Q19" s="1">
        <f t="shared" si="98"/>
        <v>1559.1961345585262</v>
      </c>
      <c r="R19" s="1">
        <f t="shared" si="98"/>
        <v>1637.1559412864526</v>
      </c>
      <c r="S19" s="1">
        <f t="shared" si="98"/>
        <v>1719.0137383507754</v>
      </c>
      <c r="T19" s="1">
        <f t="shared" si="98"/>
        <v>1804.9644252683142</v>
      </c>
      <c r="U19" s="1">
        <f t="shared" si="98"/>
        <v>1895.2126465317301</v>
      </c>
      <c r="V19" s="1">
        <f t="shared" si="98"/>
        <v>1989.9732788583167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x14ac:dyDescent="0.75">
      <c r="A20" s="9" t="s">
        <v>19</v>
      </c>
      <c r="B20" s="6">
        <v>300</v>
      </c>
      <c r="C20" s="1">
        <f t="shared" ref="C20:V20" si="99">B20*(1+$B$30)</f>
        <v>315</v>
      </c>
      <c r="D20" s="1">
        <f t="shared" si="99"/>
        <v>330.75</v>
      </c>
      <c r="E20" s="1">
        <f t="shared" si="99"/>
        <v>347.28750000000002</v>
      </c>
      <c r="F20" s="1">
        <f t="shared" si="99"/>
        <v>364.65187500000002</v>
      </c>
      <c r="G20" s="1">
        <f t="shared" si="99"/>
        <v>382.88446875000005</v>
      </c>
      <c r="H20" s="1">
        <f t="shared" si="99"/>
        <v>402.0286921875001</v>
      </c>
      <c r="I20" s="1">
        <f t="shared" si="99"/>
        <v>422.13012679687512</v>
      </c>
      <c r="J20" s="1">
        <f t="shared" si="99"/>
        <v>443.23663313671886</v>
      </c>
      <c r="K20" s="1">
        <f t="shared" si="99"/>
        <v>465.39846479355481</v>
      </c>
      <c r="L20" s="1">
        <f t="shared" si="99"/>
        <v>488.66838803323259</v>
      </c>
      <c r="M20" s="1">
        <f t="shared" si="99"/>
        <v>513.10180743489423</v>
      </c>
      <c r="N20" s="1">
        <f t="shared" si="99"/>
        <v>538.75689780663902</v>
      </c>
      <c r="O20" s="1">
        <f t="shared" si="99"/>
        <v>565.69474269697105</v>
      </c>
      <c r="P20" s="1">
        <f t="shared" si="99"/>
        <v>593.97947983181962</v>
      </c>
      <c r="Q20" s="1">
        <f t="shared" si="99"/>
        <v>623.67845382341068</v>
      </c>
      <c r="R20" s="1">
        <f t="shared" si="99"/>
        <v>654.86237651458123</v>
      </c>
      <c r="S20" s="1">
        <f t="shared" si="99"/>
        <v>687.60549534031031</v>
      </c>
      <c r="T20" s="1">
        <f t="shared" si="99"/>
        <v>721.98577010732583</v>
      </c>
      <c r="U20" s="1">
        <f t="shared" si="99"/>
        <v>758.08505861269214</v>
      </c>
      <c r="V20" s="1">
        <f t="shared" si="99"/>
        <v>795.98931154332672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x14ac:dyDescent="0.75">
      <c r="A21" s="9" t="s">
        <v>20</v>
      </c>
      <c r="B21" s="6">
        <v>400</v>
      </c>
      <c r="C21" s="1">
        <f t="shared" ref="C21:V21" si="100">B21*(1+$B$30)</f>
        <v>420</v>
      </c>
      <c r="D21" s="1">
        <f t="shared" si="100"/>
        <v>441</v>
      </c>
      <c r="E21" s="1">
        <f t="shared" si="100"/>
        <v>463.05</v>
      </c>
      <c r="F21" s="1">
        <f t="shared" si="100"/>
        <v>486.20250000000004</v>
      </c>
      <c r="G21" s="1">
        <f t="shared" si="100"/>
        <v>510.51262500000007</v>
      </c>
      <c r="H21" s="1">
        <f t="shared" si="100"/>
        <v>536.03825625000013</v>
      </c>
      <c r="I21" s="1">
        <f t="shared" si="100"/>
        <v>562.84016906250019</v>
      </c>
      <c r="J21" s="1">
        <f t="shared" si="100"/>
        <v>590.98217751562527</v>
      </c>
      <c r="K21" s="1">
        <f t="shared" si="100"/>
        <v>620.53128639140652</v>
      </c>
      <c r="L21" s="1">
        <f t="shared" si="100"/>
        <v>651.55785071097682</v>
      </c>
      <c r="M21" s="1">
        <f t="shared" si="100"/>
        <v>684.13574324652575</v>
      </c>
      <c r="N21" s="1">
        <f t="shared" si="100"/>
        <v>718.3425304088521</v>
      </c>
      <c r="O21" s="1">
        <f t="shared" si="100"/>
        <v>754.25965692929469</v>
      </c>
      <c r="P21" s="1">
        <f t="shared" si="100"/>
        <v>791.97263977575949</v>
      </c>
      <c r="Q21" s="1">
        <f t="shared" si="100"/>
        <v>831.57127176454753</v>
      </c>
      <c r="R21" s="1">
        <f t="shared" si="100"/>
        <v>873.14983535277497</v>
      </c>
      <c r="S21" s="1">
        <f t="shared" si="100"/>
        <v>916.80732712041379</v>
      </c>
      <c r="T21" s="1">
        <f t="shared" si="100"/>
        <v>962.64769347643448</v>
      </c>
      <c r="U21" s="1">
        <f t="shared" si="100"/>
        <v>1010.7800781502563</v>
      </c>
      <c r="V21" s="1">
        <f t="shared" si="100"/>
        <v>1061.319082057769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x14ac:dyDescent="0.75">
      <c r="A22" s="9" t="s">
        <v>21</v>
      </c>
      <c r="B22" s="6">
        <v>500</v>
      </c>
      <c r="C22" s="1">
        <f t="shared" ref="C22:V22" si="101">B22*(1+$B$30)</f>
        <v>525</v>
      </c>
      <c r="D22" s="1">
        <f t="shared" si="101"/>
        <v>551.25</v>
      </c>
      <c r="E22" s="1">
        <f t="shared" si="101"/>
        <v>578.8125</v>
      </c>
      <c r="F22" s="1">
        <f t="shared" si="101"/>
        <v>607.75312500000007</v>
      </c>
      <c r="G22" s="1">
        <f t="shared" si="101"/>
        <v>638.14078125000015</v>
      </c>
      <c r="H22" s="1">
        <f t="shared" si="101"/>
        <v>670.04782031250022</v>
      </c>
      <c r="I22" s="1">
        <f t="shared" si="101"/>
        <v>703.55021132812522</v>
      </c>
      <c r="J22" s="1">
        <f t="shared" si="101"/>
        <v>738.72772189453156</v>
      </c>
      <c r="K22" s="1">
        <f t="shared" si="101"/>
        <v>775.66410798925813</v>
      </c>
      <c r="L22" s="1">
        <f t="shared" si="101"/>
        <v>814.44731338872111</v>
      </c>
      <c r="M22" s="1">
        <f t="shared" si="101"/>
        <v>855.16967905815716</v>
      </c>
      <c r="N22" s="1">
        <f t="shared" si="101"/>
        <v>897.92816301106507</v>
      </c>
      <c r="O22" s="1">
        <f t="shared" si="101"/>
        <v>942.82457116161834</v>
      </c>
      <c r="P22" s="1">
        <f t="shared" si="101"/>
        <v>989.96579971969925</v>
      </c>
      <c r="Q22" s="1">
        <f t="shared" si="101"/>
        <v>1039.4640897056843</v>
      </c>
      <c r="R22" s="1">
        <f t="shared" si="101"/>
        <v>1091.4372941909685</v>
      </c>
      <c r="S22" s="1">
        <f t="shared" si="101"/>
        <v>1146.0091589005169</v>
      </c>
      <c r="T22" s="1">
        <f t="shared" si="101"/>
        <v>1203.3096168455429</v>
      </c>
      <c r="U22" s="1">
        <f t="shared" si="101"/>
        <v>1263.4750976878202</v>
      </c>
      <c r="V22" s="1">
        <f t="shared" si="101"/>
        <v>1326.6488525722111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x14ac:dyDescent="0.75">
      <c r="A23" s="9" t="s">
        <v>22</v>
      </c>
      <c r="B23" s="6">
        <v>200</v>
      </c>
      <c r="C23" s="1">
        <f t="shared" ref="C23:V23" si="102">B23*(1+$B$30)</f>
        <v>210</v>
      </c>
      <c r="D23" s="1">
        <f t="shared" si="102"/>
        <v>220.5</v>
      </c>
      <c r="E23" s="1">
        <f t="shared" si="102"/>
        <v>231.52500000000001</v>
      </c>
      <c r="F23" s="1">
        <f t="shared" si="102"/>
        <v>243.10125000000002</v>
      </c>
      <c r="G23" s="1">
        <f t="shared" si="102"/>
        <v>255.25631250000004</v>
      </c>
      <c r="H23" s="1">
        <f t="shared" si="102"/>
        <v>268.01912812500007</v>
      </c>
      <c r="I23" s="1">
        <f t="shared" si="102"/>
        <v>281.4200845312501</v>
      </c>
      <c r="J23" s="1">
        <f t="shared" si="102"/>
        <v>295.49108875781263</v>
      </c>
      <c r="K23" s="1">
        <f t="shared" si="102"/>
        <v>310.26564319570326</v>
      </c>
      <c r="L23" s="1">
        <f t="shared" si="102"/>
        <v>325.77892535548841</v>
      </c>
      <c r="M23" s="1">
        <f t="shared" si="102"/>
        <v>342.06787162326287</v>
      </c>
      <c r="N23" s="1">
        <f t="shared" si="102"/>
        <v>359.17126520442605</v>
      </c>
      <c r="O23" s="1">
        <f t="shared" si="102"/>
        <v>377.12982846464735</v>
      </c>
      <c r="P23" s="1">
        <f t="shared" si="102"/>
        <v>395.98631988787974</v>
      </c>
      <c r="Q23" s="1">
        <f t="shared" si="102"/>
        <v>415.78563588227377</v>
      </c>
      <c r="R23" s="1">
        <f t="shared" si="102"/>
        <v>436.57491767638749</v>
      </c>
      <c r="S23" s="1">
        <f t="shared" si="102"/>
        <v>458.40366356020689</v>
      </c>
      <c r="T23" s="1">
        <f t="shared" si="102"/>
        <v>481.32384673821724</v>
      </c>
      <c r="U23" s="1">
        <f t="shared" si="102"/>
        <v>505.39003907512813</v>
      </c>
      <c r="V23" s="1">
        <f t="shared" si="102"/>
        <v>530.65954102888452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x14ac:dyDescent="0.75">
      <c r="A24" s="3" t="s">
        <v>23</v>
      </c>
      <c r="B24" s="6">
        <v>100</v>
      </c>
      <c r="C24" s="1">
        <f t="shared" ref="C24:V24" si="103">B24*(1+$B$30)</f>
        <v>105</v>
      </c>
      <c r="D24" s="1">
        <f t="shared" si="103"/>
        <v>110.25</v>
      </c>
      <c r="E24" s="1">
        <f t="shared" si="103"/>
        <v>115.7625</v>
      </c>
      <c r="F24" s="1">
        <f t="shared" si="103"/>
        <v>121.55062500000001</v>
      </c>
      <c r="G24" s="1">
        <f t="shared" si="103"/>
        <v>127.62815625000002</v>
      </c>
      <c r="H24" s="1">
        <f t="shared" si="103"/>
        <v>134.00956406250003</v>
      </c>
      <c r="I24" s="1">
        <f t="shared" si="103"/>
        <v>140.71004226562505</v>
      </c>
      <c r="J24" s="1">
        <f t="shared" si="103"/>
        <v>147.74554437890632</v>
      </c>
      <c r="K24" s="1">
        <f t="shared" si="103"/>
        <v>155.13282159785163</v>
      </c>
      <c r="L24" s="1">
        <f t="shared" si="103"/>
        <v>162.88946267774421</v>
      </c>
      <c r="M24" s="1">
        <f t="shared" si="103"/>
        <v>171.03393581163144</v>
      </c>
      <c r="N24" s="1">
        <f t="shared" si="103"/>
        <v>179.58563260221302</v>
      </c>
      <c r="O24" s="1">
        <f t="shared" si="103"/>
        <v>188.56491423232367</v>
      </c>
      <c r="P24" s="1">
        <f t="shared" si="103"/>
        <v>197.99315994393987</v>
      </c>
      <c r="Q24" s="1">
        <f t="shared" si="103"/>
        <v>207.89281794113688</v>
      </c>
      <c r="R24" s="1">
        <f t="shared" si="103"/>
        <v>218.28745883819374</v>
      </c>
      <c r="S24" s="1">
        <f t="shared" si="103"/>
        <v>229.20183178010345</v>
      </c>
      <c r="T24" s="1">
        <f t="shared" si="103"/>
        <v>240.66192336910862</v>
      </c>
      <c r="U24" s="1">
        <f t="shared" si="103"/>
        <v>252.69501953756406</v>
      </c>
      <c r="V24" s="1">
        <f t="shared" si="103"/>
        <v>265.32977051444226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x14ac:dyDescent="0.75">
      <c r="A25" s="3" t="s">
        <v>24</v>
      </c>
      <c r="B25" s="6">
        <v>450</v>
      </c>
      <c r="C25" s="1">
        <f t="shared" ref="C25:V25" si="104">B25*(1+$B$30)</f>
        <v>472.5</v>
      </c>
      <c r="D25" s="1">
        <f t="shared" si="104"/>
        <v>496.125</v>
      </c>
      <c r="E25" s="1">
        <f t="shared" si="104"/>
        <v>520.93124999999998</v>
      </c>
      <c r="F25" s="1">
        <f t="shared" si="104"/>
        <v>546.97781250000003</v>
      </c>
      <c r="G25" s="1">
        <f t="shared" si="104"/>
        <v>574.32670312500011</v>
      </c>
      <c r="H25" s="1">
        <f t="shared" si="104"/>
        <v>603.04303828125012</v>
      </c>
      <c r="I25" s="1">
        <f t="shared" si="104"/>
        <v>633.19519019531265</v>
      </c>
      <c r="J25" s="1">
        <f t="shared" si="104"/>
        <v>664.8549497050783</v>
      </c>
      <c r="K25" s="1">
        <f t="shared" si="104"/>
        <v>698.09769719033227</v>
      </c>
      <c r="L25" s="1">
        <f t="shared" si="104"/>
        <v>733.00258204984891</v>
      </c>
      <c r="M25" s="1">
        <f t="shared" si="104"/>
        <v>769.65271115234134</v>
      </c>
      <c r="N25" s="1">
        <f t="shared" si="104"/>
        <v>808.13534670995841</v>
      </c>
      <c r="O25" s="1">
        <f t="shared" si="104"/>
        <v>848.5421140454564</v>
      </c>
      <c r="P25" s="1">
        <f t="shared" si="104"/>
        <v>890.96921974772931</v>
      </c>
      <c r="Q25" s="1">
        <f t="shared" si="104"/>
        <v>935.51768073511585</v>
      </c>
      <c r="R25" s="1">
        <f t="shared" si="104"/>
        <v>982.29356477187173</v>
      </c>
      <c r="S25" s="1">
        <f t="shared" si="104"/>
        <v>1031.4082430104654</v>
      </c>
      <c r="T25" s="1">
        <f t="shared" si="104"/>
        <v>1082.9786551609886</v>
      </c>
      <c r="U25" s="1">
        <f t="shared" si="104"/>
        <v>1137.1275879190382</v>
      </c>
      <c r="V25" s="1">
        <f t="shared" si="104"/>
        <v>1193.9839673149902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x14ac:dyDescent="0.75">
      <c r="A26" s="3" t="s">
        <v>25</v>
      </c>
      <c r="B26" s="6">
        <v>200</v>
      </c>
      <c r="C26" s="1">
        <f t="shared" ref="C26:V26" si="105">B26*(1+$B$30)</f>
        <v>210</v>
      </c>
      <c r="D26" s="1">
        <f t="shared" si="105"/>
        <v>220.5</v>
      </c>
      <c r="E26" s="1">
        <f t="shared" si="105"/>
        <v>231.52500000000001</v>
      </c>
      <c r="F26" s="1">
        <f t="shared" si="105"/>
        <v>243.10125000000002</v>
      </c>
      <c r="G26" s="1">
        <f t="shared" si="105"/>
        <v>255.25631250000004</v>
      </c>
      <c r="H26" s="1">
        <f t="shared" si="105"/>
        <v>268.01912812500007</v>
      </c>
      <c r="I26" s="1">
        <f t="shared" si="105"/>
        <v>281.4200845312501</v>
      </c>
      <c r="J26" s="1">
        <f t="shared" si="105"/>
        <v>295.49108875781263</v>
      </c>
      <c r="K26" s="1">
        <f t="shared" si="105"/>
        <v>310.26564319570326</v>
      </c>
      <c r="L26" s="1">
        <f t="shared" si="105"/>
        <v>325.77892535548841</v>
      </c>
      <c r="M26" s="1">
        <f t="shared" si="105"/>
        <v>342.06787162326287</v>
      </c>
      <c r="N26" s="1">
        <f t="shared" si="105"/>
        <v>359.17126520442605</v>
      </c>
      <c r="O26" s="1">
        <f t="shared" si="105"/>
        <v>377.12982846464735</v>
      </c>
      <c r="P26" s="1">
        <f t="shared" si="105"/>
        <v>395.98631988787974</v>
      </c>
      <c r="Q26" s="1">
        <f t="shared" si="105"/>
        <v>415.78563588227377</v>
      </c>
      <c r="R26" s="1">
        <f t="shared" si="105"/>
        <v>436.57491767638749</v>
      </c>
      <c r="S26" s="1">
        <f t="shared" si="105"/>
        <v>458.40366356020689</v>
      </c>
      <c r="T26" s="1">
        <f t="shared" si="105"/>
        <v>481.32384673821724</v>
      </c>
      <c r="U26" s="1">
        <f t="shared" si="105"/>
        <v>505.39003907512813</v>
      </c>
      <c r="V26" s="1">
        <f t="shared" si="105"/>
        <v>530.65954102888452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75">
      <c r="A27" s="3" t="s">
        <v>26</v>
      </c>
      <c r="B27" s="6">
        <v>400</v>
      </c>
      <c r="C27" s="1">
        <f t="shared" ref="C27:V27" si="106">B27*(1+$B$30)</f>
        <v>420</v>
      </c>
      <c r="D27" s="1">
        <f t="shared" si="106"/>
        <v>441</v>
      </c>
      <c r="E27" s="1">
        <f t="shared" si="106"/>
        <v>463.05</v>
      </c>
      <c r="F27" s="1">
        <f t="shared" si="106"/>
        <v>486.20250000000004</v>
      </c>
      <c r="G27" s="1">
        <f t="shared" si="106"/>
        <v>510.51262500000007</v>
      </c>
      <c r="H27" s="1">
        <f t="shared" si="106"/>
        <v>536.03825625000013</v>
      </c>
      <c r="I27" s="1">
        <f t="shared" si="106"/>
        <v>562.84016906250019</v>
      </c>
      <c r="J27" s="1">
        <f t="shared" si="106"/>
        <v>590.98217751562527</v>
      </c>
      <c r="K27" s="1">
        <f t="shared" si="106"/>
        <v>620.53128639140652</v>
      </c>
      <c r="L27" s="1">
        <f t="shared" si="106"/>
        <v>651.55785071097682</v>
      </c>
      <c r="M27" s="1">
        <f t="shared" si="106"/>
        <v>684.13574324652575</v>
      </c>
      <c r="N27" s="1">
        <f t="shared" si="106"/>
        <v>718.3425304088521</v>
      </c>
      <c r="O27" s="1">
        <f t="shared" si="106"/>
        <v>754.25965692929469</v>
      </c>
      <c r="P27" s="1">
        <f t="shared" si="106"/>
        <v>791.97263977575949</v>
      </c>
      <c r="Q27" s="1">
        <f t="shared" si="106"/>
        <v>831.57127176454753</v>
      </c>
      <c r="R27" s="1">
        <f t="shared" si="106"/>
        <v>873.14983535277497</v>
      </c>
      <c r="S27" s="1">
        <f t="shared" si="106"/>
        <v>916.80732712041379</v>
      </c>
      <c r="T27" s="1">
        <f t="shared" si="106"/>
        <v>962.64769347643448</v>
      </c>
      <c r="U27" s="1">
        <f t="shared" si="106"/>
        <v>1010.7800781502563</v>
      </c>
      <c r="V27" s="1">
        <f t="shared" si="106"/>
        <v>1061.319082057769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x14ac:dyDescent="0.75">
      <c r="A28" s="3" t="s">
        <v>27</v>
      </c>
      <c r="B28" s="6">
        <v>150</v>
      </c>
      <c r="C28" s="1">
        <f t="shared" ref="C28:V28" si="107">B28*(1+$B$30)</f>
        <v>157.5</v>
      </c>
      <c r="D28" s="1">
        <f t="shared" si="107"/>
        <v>165.375</v>
      </c>
      <c r="E28" s="1">
        <f t="shared" si="107"/>
        <v>173.64375000000001</v>
      </c>
      <c r="F28" s="1">
        <f t="shared" si="107"/>
        <v>182.32593750000001</v>
      </c>
      <c r="G28" s="1">
        <f t="shared" si="107"/>
        <v>191.44223437500003</v>
      </c>
      <c r="H28" s="1">
        <f t="shared" si="107"/>
        <v>201.01434609375005</v>
      </c>
      <c r="I28" s="1">
        <f t="shared" si="107"/>
        <v>211.06506339843756</v>
      </c>
      <c r="J28" s="1">
        <f t="shared" si="107"/>
        <v>221.61831656835943</v>
      </c>
      <c r="K28" s="1">
        <f t="shared" si="107"/>
        <v>232.6992323967774</v>
      </c>
      <c r="L28" s="1">
        <f t="shared" si="107"/>
        <v>244.33419401661629</v>
      </c>
      <c r="M28" s="1">
        <f t="shared" si="107"/>
        <v>256.55090371744711</v>
      </c>
      <c r="N28" s="1">
        <f t="shared" si="107"/>
        <v>269.37844890331951</v>
      </c>
      <c r="O28" s="1">
        <f t="shared" si="107"/>
        <v>282.84737134848552</v>
      </c>
      <c r="P28" s="1">
        <f t="shared" si="107"/>
        <v>296.98973991590981</v>
      </c>
      <c r="Q28" s="1">
        <f t="shared" si="107"/>
        <v>311.83922691170534</v>
      </c>
      <c r="R28" s="1">
        <f t="shared" si="107"/>
        <v>327.43118825729061</v>
      </c>
      <c r="S28" s="1">
        <f t="shared" si="107"/>
        <v>343.80274767015516</v>
      </c>
      <c r="T28" s="1">
        <f t="shared" si="107"/>
        <v>360.99288505366292</v>
      </c>
      <c r="U28" s="1">
        <f t="shared" si="107"/>
        <v>379.04252930634607</v>
      </c>
      <c r="V28" s="1">
        <f t="shared" si="107"/>
        <v>397.99465577166336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x14ac:dyDescent="0.75">
      <c r="A29" t="s">
        <v>53</v>
      </c>
      <c r="B29" s="6">
        <v>650</v>
      </c>
      <c r="C29" s="1">
        <v>650</v>
      </c>
      <c r="D29" s="1">
        <v>650</v>
      </c>
      <c r="E29" s="1">
        <v>650</v>
      </c>
      <c r="F29" s="1">
        <v>650</v>
      </c>
      <c r="G29" s="1"/>
      <c r="H29" s="1">
        <f t="shared" ref="H29:V29" si="108">G29*(1+$B$30)</f>
        <v>0</v>
      </c>
      <c r="I29" s="1">
        <f t="shared" si="108"/>
        <v>0</v>
      </c>
      <c r="J29" s="1">
        <f t="shared" si="108"/>
        <v>0</v>
      </c>
      <c r="K29" s="1">
        <f t="shared" si="108"/>
        <v>0</v>
      </c>
      <c r="L29" s="1">
        <f t="shared" si="108"/>
        <v>0</v>
      </c>
      <c r="M29" s="1">
        <f t="shared" si="108"/>
        <v>0</v>
      </c>
      <c r="N29" s="1">
        <f t="shared" si="108"/>
        <v>0</v>
      </c>
      <c r="O29" s="1">
        <f t="shared" si="108"/>
        <v>0</v>
      </c>
      <c r="P29" s="1">
        <f t="shared" si="108"/>
        <v>0</v>
      </c>
      <c r="Q29" s="1">
        <f t="shared" si="108"/>
        <v>0</v>
      </c>
      <c r="R29" s="1">
        <f t="shared" si="108"/>
        <v>0</v>
      </c>
      <c r="S29" s="1">
        <f t="shared" si="108"/>
        <v>0</v>
      </c>
      <c r="T29" s="1">
        <f t="shared" si="108"/>
        <v>0</v>
      </c>
      <c r="U29" s="1">
        <f t="shared" si="108"/>
        <v>0</v>
      </c>
      <c r="V29" s="1">
        <f t="shared" si="108"/>
        <v>0</v>
      </c>
    </row>
    <row r="30" spans="1:80" x14ac:dyDescent="0.75">
      <c r="A30" t="s">
        <v>105</v>
      </c>
      <c r="B30" s="5">
        <v>0.05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2" spans="1:80" x14ac:dyDescent="0.75">
      <c r="A32" s="3" t="s">
        <v>28</v>
      </c>
      <c r="B32" s="2">
        <f t="shared" ref="B32:AG32" si="109">B15-B18</f>
        <v>14626.27199999999</v>
      </c>
      <c r="C32" s="2">
        <f t="shared" si="109"/>
        <v>12556.27199999999</v>
      </c>
      <c r="D32" s="2">
        <f t="shared" si="109"/>
        <v>26151.851999999984</v>
      </c>
      <c r="E32" s="2">
        <f t="shared" si="109"/>
        <v>33090.068999999981</v>
      </c>
      <c r="F32" s="2">
        <f t="shared" si="109"/>
        <v>45294.413249999983</v>
      </c>
      <c r="G32" s="2">
        <f t="shared" si="109"/>
        <v>50578.315312499981</v>
      </c>
      <c r="H32" s="2">
        <f t="shared" si="109"/>
        <v>51890.400478124982</v>
      </c>
      <c r="I32" s="2">
        <f t="shared" si="109"/>
        <v>49116.402502031211</v>
      </c>
      <c r="J32" s="2">
        <f t="shared" si="109"/>
        <v>50539.364627132774</v>
      </c>
      <c r="K32" s="2">
        <f t="shared" si="109"/>
        <v>47481.031858489427</v>
      </c>
      <c r="L32" s="2">
        <f t="shared" si="109"/>
        <v>47062.01445141391</v>
      </c>
      <c r="M32" s="2">
        <f t="shared" si="109"/>
        <v>58190.39057398458</v>
      </c>
      <c r="N32" s="2">
        <f t="shared" si="109"/>
        <v>59876.216102683786</v>
      </c>
      <c r="O32" s="2">
        <f t="shared" si="109"/>
        <v>56158.793507817987</v>
      </c>
      <c r="P32" s="2">
        <f t="shared" si="109"/>
        <v>55894.775783208883</v>
      </c>
      <c r="Q32" s="2">
        <f t="shared" si="109"/>
        <v>51796.317372369318</v>
      </c>
      <c r="R32" s="2">
        <f t="shared" si="109"/>
        <v>49582.088040987786</v>
      </c>
      <c r="S32" s="2">
        <f t="shared" si="109"/>
        <v>45063.537643037169</v>
      </c>
      <c r="T32" s="2">
        <f t="shared" si="109"/>
        <v>56168.491725189015</v>
      </c>
      <c r="U32" s="2">
        <f t="shared" si="109"/>
        <v>51186.789911448461</v>
      </c>
      <c r="V32" s="2">
        <f t="shared" si="109"/>
        <v>49514.927007020946</v>
      </c>
      <c r="W32" s="8">
        <f t="shared" si="109"/>
        <v>-56132.55219297907</v>
      </c>
      <c r="X32" s="8">
        <f t="shared" si="109"/>
        <v>-56132.55219297907</v>
      </c>
      <c r="Y32" s="8">
        <f t="shared" si="109"/>
        <v>-56132.55219297907</v>
      </c>
      <c r="Z32" s="8">
        <f t="shared" si="109"/>
        <v>-56132.55219297907</v>
      </c>
      <c r="AA32" s="8">
        <f t="shared" si="109"/>
        <v>-56132.55219297907</v>
      </c>
      <c r="AB32" s="8">
        <f t="shared" si="109"/>
        <v>-56132.55219297907</v>
      </c>
      <c r="AC32" s="8">
        <f t="shared" si="109"/>
        <v>-56132.55219297907</v>
      </c>
      <c r="AD32" s="8">
        <f t="shared" si="109"/>
        <v>-56132.55219297907</v>
      </c>
      <c r="AE32" s="8">
        <f t="shared" si="109"/>
        <v>-56132.55219297907</v>
      </c>
      <c r="AF32" s="8">
        <f t="shared" si="109"/>
        <v>-56132.55219297907</v>
      </c>
      <c r="AG32" s="8">
        <f t="shared" si="109"/>
        <v>-56132.55219297907</v>
      </c>
      <c r="AH32" s="8">
        <f t="shared" ref="AH32:BM32" si="110">AH15-AH18</f>
        <v>-56132.55219297907</v>
      </c>
      <c r="AI32" s="8">
        <f t="shared" si="110"/>
        <v>-56132.55219297907</v>
      </c>
      <c r="AJ32" s="8">
        <f t="shared" si="110"/>
        <v>-56132.55219297907</v>
      </c>
      <c r="AK32" s="8">
        <f t="shared" si="110"/>
        <v>-56132.55219297907</v>
      </c>
      <c r="AL32" s="8">
        <f t="shared" si="110"/>
        <v>-56132.55219297907</v>
      </c>
      <c r="AM32" s="8">
        <f t="shared" si="110"/>
        <v>-56132.55219297907</v>
      </c>
      <c r="AN32" s="8">
        <f t="shared" si="110"/>
        <v>-56132.55219297907</v>
      </c>
      <c r="AO32" s="8">
        <f t="shared" si="110"/>
        <v>-56132.55219297907</v>
      </c>
      <c r="AP32" s="8">
        <f t="shared" si="110"/>
        <v>-56132.55219297907</v>
      </c>
      <c r="AQ32" s="8">
        <f t="shared" si="110"/>
        <v>-56132.55219297907</v>
      </c>
      <c r="AR32" s="8">
        <f t="shared" si="110"/>
        <v>-56132.55219297907</v>
      </c>
      <c r="AS32" s="8">
        <f t="shared" si="110"/>
        <v>-56132.55219297907</v>
      </c>
      <c r="AT32" s="8">
        <f t="shared" si="110"/>
        <v>-56132.55219297907</v>
      </c>
      <c r="AU32" s="8">
        <f t="shared" si="110"/>
        <v>-56132.55219297907</v>
      </c>
      <c r="AV32" s="8">
        <f t="shared" si="110"/>
        <v>-56132.55219297907</v>
      </c>
      <c r="AW32" s="8">
        <f t="shared" si="110"/>
        <v>-56132.55219297907</v>
      </c>
      <c r="AX32" s="8">
        <f t="shared" si="110"/>
        <v>-56132.55219297907</v>
      </c>
      <c r="AY32" s="8">
        <f t="shared" si="110"/>
        <v>-56132.55219297907</v>
      </c>
      <c r="AZ32" s="8">
        <f t="shared" si="110"/>
        <v>-56132.55219297907</v>
      </c>
      <c r="BA32" s="8">
        <f t="shared" si="110"/>
        <v>-56132.55219297907</v>
      </c>
      <c r="BB32" s="8">
        <f t="shared" si="110"/>
        <v>-56132.55219297907</v>
      </c>
      <c r="BC32" s="8">
        <f t="shared" si="110"/>
        <v>-56132.55219297907</v>
      </c>
      <c r="BD32" s="8">
        <f t="shared" si="110"/>
        <v>-56132.55219297907</v>
      </c>
      <c r="BE32" s="8">
        <f t="shared" si="110"/>
        <v>-56132.55219297907</v>
      </c>
      <c r="BF32" s="8">
        <f t="shared" si="110"/>
        <v>-56132.55219297907</v>
      </c>
      <c r="BG32" s="8">
        <f t="shared" si="110"/>
        <v>-56132.55219297907</v>
      </c>
      <c r="BH32" s="8">
        <f t="shared" si="110"/>
        <v>-56132.55219297907</v>
      </c>
      <c r="BI32" s="8">
        <f t="shared" si="110"/>
        <v>-56132.55219297907</v>
      </c>
      <c r="BJ32" s="8">
        <f t="shared" si="110"/>
        <v>-56132.55219297907</v>
      </c>
      <c r="BK32" s="8">
        <f t="shared" si="110"/>
        <v>-56132.55219297907</v>
      </c>
      <c r="BL32" s="8">
        <f t="shared" si="110"/>
        <v>-56132.55219297907</v>
      </c>
      <c r="BM32" s="8">
        <f t="shared" si="110"/>
        <v>-56132.55219297907</v>
      </c>
      <c r="BN32" s="8">
        <f t="shared" ref="BN32:CB32" si="111">BN15-BN18</f>
        <v>-56132.55219297907</v>
      </c>
      <c r="BO32" s="8">
        <f t="shared" si="111"/>
        <v>-56132.55219297907</v>
      </c>
      <c r="BP32" s="8">
        <f t="shared" si="111"/>
        <v>-56132.55219297907</v>
      </c>
      <c r="BQ32" s="8">
        <f t="shared" si="111"/>
        <v>-56132.55219297907</v>
      </c>
      <c r="BR32" s="8">
        <f t="shared" si="111"/>
        <v>-56132.55219297907</v>
      </c>
      <c r="BS32" s="8">
        <f t="shared" si="111"/>
        <v>-56132.55219297907</v>
      </c>
      <c r="BT32" s="8">
        <f t="shared" si="111"/>
        <v>-56132.55219297907</v>
      </c>
      <c r="BU32" s="8">
        <f t="shared" si="111"/>
        <v>-56132.55219297907</v>
      </c>
      <c r="BV32" s="8">
        <f t="shared" si="111"/>
        <v>-56132.55219297907</v>
      </c>
      <c r="BW32" s="8">
        <f t="shared" si="111"/>
        <v>-56132.55219297907</v>
      </c>
      <c r="BX32" s="8">
        <f t="shared" si="111"/>
        <v>-56132.55219297907</v>
      </c>
      <c r="BY32" s="8">
        <f t="shared" si="111"/>
        <v>-56132.55219297907</v>
      </c>
      <c r="BZ32" s="8">
        <f t="shared" si="111"/>
        <v>-56132.55219297907</v>
      </c>
      <c r="CA32" s="8">
        <f t="shared" si="111"/>
        <v>-56132.55219297907</v>
      </c>
      <c r="CB32" s="8">
        <f t="shared" si="111"/>
        <v>-56132.55219297907</v>
      </c>
    </row>
    <row r="33" spans="1:80" x14ac:dyDescent="0.75">
      <c r="A33" s="4" t="s">
        <v>28</v>
      </c>
      <c r="B33" s="2">
        <f t="shared" ref="B33:AG33" si="112">B16-B18</f>
        <v>16635.071999999986</v>
      </c>
      <c r="C33" s="2">
        <f t="shared" si="112"/>
        <v>14565.071999999986</v>
      </c>
      <c r="D33" s="2">
        <f t="shared" si="112"/>
        <v>29499.851999999984</v>
      </c>
      <c r="E33" s="2">
        <f t="shared" si="112"/>
        <v>36438.068999999981</v>
      </c>
      <c r="F33" s="2">
        <f t="shared" si="112"/>
        <v>50885.573249999987</v>
      </c>
      <c r="G33" s="2">
        <f t="shared" si="112"/>
        <v>56169.475312499984</v>
      </c>
      <c r="H33" s="2">
        <f t="shared" si="112"/>
        <v>57481.560478124986</v>
      </c>
      <c r="I33" s="2">
        <f t="shared" si="112"/>
        <v>54707.562502031215</v>
      </c>
      <c r="J33" s="2">
        <f t="shared" si="112"/>
        <v>56130.524627132778</v>
      </c>
      <c r="K33" s="2">
        <f t="shared" si="112"/>
        <v>53072.19185848943</v>
      </c>
      <c r="L33" s="2">
        <f t="shared" si="112"/>
        <v>52653.174451413899</v>
      </c>
      <c r="M33" s="2">
        <f t="shared" si="112"/>
        <v>64919.870573984575</v>
      </c>
      <c r="N33" s="2">
        <f t="shared" si="112"/>
        <v>66605.696102683767</v>
      </c>
      <c r="O33" s="2">
        <f t="shared" si="112"/>
        <v>62888.273507817968</v>
      </c>
      <c r="P33" s="2">
        <f t="shared" si="112"/>
        <v>62624.255783208864</v>
      </c>
      <c r="Q33" s="2">
        <f t="shared" si="112"/>
        <v>58525.797372369299</v>
      </c>
      <c r="R33" s="2">
        <f t="shared" si="112"/>
        <v>56311.568040987797</v>
      </c>
      <c r="S33" s="2">
        <f t="shared" si="112"/>
        <v>51793.017643037179</v>
      </c>
      <c r="T33" s="2">
        <f t="shared" si="112"/>
        <v>64505.011725189033</v>
      </c>
      <c r="U33" s="2">
        <f t="shared" si="112"/>
        <v>59523.309911448479</v>
      </c>
      <c r="V33" s="2">
        <f t="shared" si="112"/>
        <v>57851.447007020935</v>
      </c>
      <c r="W33" s="8">
        <f t="shared" si="112"/>
        <v>-56132.55219297907</v>
      </c>
      <c r="X33" s="8">
        <f t="shared" si="112"/>
        <v>-56132.55219297907</v>
      </c>
      <c r="Y33" s="8">
        <f t="shared" si="112"/>
        <v>-56132.55219297907</v>
      </c>
      <c r="Z33" s="8">
        <f t="shared" si="112"/>
        <v>-56132.55219297907</v>
      </c>
      <c r="AA33" s="8">
        <f t="shared" si="112"/>
        <v>-56132.55219297907</v>
      </c>
      <c r="AB33" s="8">
        <f t="shared" si="112"/>
        <v>-56132.55219297907</v>
      </c>
      <c r="AC33" s="8">
        <f t="shared" si="112"/>
        <v>-56132.55219297907</v>
      </c>
      <c r="AD33" s="8">
        <f t="shared" si="112"/>
        <v>-56132.55219297907</v>
      </c>
      <c r="AE33" s="8">
        <f t="shared" si="112"/>
        <v>-56132.55219297907</v>
      </c>
      <c r="AF33" s="8">
        <f t="shared" si="112"/>
        <v>-56132.55219297907</v>
      </c>
      <c r="AG33" s="8">
        <f t="shared" si="112"/>
        <v>-56132.55219297907</v>
      </c>
      <c r="AH33" s="8">
        <f t="shared" ref="AH33:BM33" si="113">AH16-AH18</f>
        <v>-56132.55219297907</v>
      </c>
      <c r="AI33" s="8">
        <f t="shared" si="113"/>
        <v>-56132.55219297907</v>
      </c>
      <c r="AJ33" s="8">
        <f t="shared" si="113"/>
        <v>-56132.55219297907</v>
      </c>
      <c r="AK33" s="8">
        <f t="shared" si="113"/>
        <v>-56132.55219297907</v>
      </c>
      <c r="AL33" s="8">
        <f t="shared" si="113"/>
        <v>-56132.55219297907</v>
      </c>
      <c r="AM33" s="8">
        <f t="shared" si="113"/>
        <v>-56132.55219297907</v>
      </c>
      <c r="AN33" s="8">
        <f t="shared" si="113"/>
        <v>-56132.55219297907</v>
      </c>
      <c r="AO33" s="8">
        <f t="shared" si="113"/>
        <v>-56132.55219297907</v>
      </c>
      <c r="AP33" s="8">
        <f t="shared" si="113"/>
        <v>-56132.55219297907</v>
      </c>
      <c r="AQ33" s="8">
        <f t="shared" si="113"/>
        <v>-56132.55219297907</v>
      </c>
      <c r="AR33" s="8">
        <f t="shared" si="113"/>
        <v>-56132.55219297907</v>
      </c>
      <c r="AS33" s="8">
        <f t="shared" si="113"/>
        <v>-56132.55219297907</v>
      </c>
      <c r="AT33" s="8">
        <f t="shared" si="113"/>
        <v>-56132.55219297907</v>
      </c>
      <c r="AU33" s="8">
        <f t="shared" si="113"/>
        <v>-56132.55219297907</v>
      </c>
      <c r="AV33" s="8">
        <f t="shared" si="113"/>
        <v>-56132.55219297907</v>
      </c>
      <c r="AW33" s="8">
        <f t="shared" si="113"/>
        <v>-56132.55219297907</v>
      </c>
      <c r="AX33" s="8">
        <f t="shared" si="113"/>
        <v>-56132.55219297907</v>
      </c>
      <c r="AY33" s="8">
        <f t="shared" si="113"/>
        <v>-56132.55219297907</v>
      </c>
      <c r="AZ33" s="8">
        <f t="shared" si="113"/>
        <v>-56132.55219297907</v>
      </c>
      <c r="BA33" s="8">
        <f t="shared" si="113"/>
        <v>-56132.55219297907</v>
      </c>
      <c r="BB33" s="8">
        <f t="shared" si="113"/>
        <v>-56132.55219297907</v>
      </c>
      <c r="BC33" s="8">
        <f t="shared" si="113"/>
        <v>-56132.55219297907</v>
      </c>
      <c r="BD33" s="8">
        <f t="shared" si="113"/>
        <v>-56132.55219297907</v>
      </c>
      <c r="BE33" s="8">
        <f t="shared" si="113"/>
        <v>-56132.55219297907</v>
      </c>
      <c r="BF33" s="8">
        <f t="shared" si="113"/>
        <v>-56132.55219297907</v>
      </c>
      <c r="BG33" s="8">
        <f t="shared" si="113"/>
        <v>-56132.55219297907</v>
      </c>
      <c r="BH33" s="8">
        <f t="shared" si="113"/>
        <v>-56132.55219297907</v>
      </c>
      <c r="BI33" s="8">
        <f t="shared" si="113"/>
        <v>-56132.55219297907</v>
      </c>
      <c r="BJ33" s="8">
        <f t="shared" si="113"/>
        <v>-56132.55219297907</v>
      </c>
      <c r="BK33" s="8">
        <f t="shared" si="113"/>
        <v>-56132.55219297907</v>
      </c>
      <c r="BL33" s="8">
        <f t="shared" si="113"/>
        <v>-56132.55219297907</v>
      </c>
      <c r="BM33" s="8">
        <f t="shared" si="113"/>
        <v>-56132.55219297907</v>
      </c>
      <c r="BN33" s="8">
        <f t="shared" ref="BN33:CB33" si="114">BN16-BN18</f>
        <v>-56132.55219297907</v>
      </c>
      <c r="BO33" s="8">
        <f t="shared" si="114"/>
        <v>-56132.55219297907</v>
      </c>
      <c r="BP33" s="8">
        <f t="shared" si="114"/>
        <v>-56132.55219297907</v>
      </c>
      <c r="BQ33" s="8">
        <f t="shared" si="114"/>
        <v>-56132.55219297907</v>
      </c>
      <c r="BR33" s="8">
        <f t="shared" si="114"/>
        <v>-56132.55219297907</v>
      </c>
      <c r="BS33" s="8">
        <f t="shared" si="114"/>
        <v>-56132.55219297907</v>
      </c>
      <c r="BT33" s="8">
        <f t="shared" si="114"/>
        <v>-56132.55219297907</v>
      </c>
      <c r="BU33" s="8">
        <f t="shared" si="114"/>
        <v>-56132.55219297907</v>
      </c>
      <c r="BV33" s="8">
        <f t="shared" si="114"/>
        <v>-56132.55219297907</v>
      </c>
      <c r="BW33" s="8">
        <f t="shared" si="114"/>
        <v>-56132.55219297907</v>
      </c>
      <c r="BX33" s="8">
        <f t="shared" si="114"/>
        <v>-56132.55219297907</v>
      </c>
      <c r="BY33" s="8">
        <f t="shared" si="114"/>
        <v>-56132.55219297907</v>
      </c>
      <c r="BZ33" s="8">
        <f t="shared" si="114"/>
        <v>-56132.55219297907</v>
      </c>
      <c r="CA33" s="8">
        <f t="shared" si="114"/>
        <v>-56132.55219297907</v>
      </c>
      <c r="CB33" s="8">
        <f t="shared" si="114"/>
        <v>-56132.55219297907</v>
      </c>
    </row>
    <row r="35" spans="1:80" ht="48" customHeight="1" x14ac:dyDescent="0.75">
      <c r="A35" s="66" t="s">
        <v>106</v>
      </c>
      <c r="B35" s="5">
        <v>0.06</v>
      </c>
    </row>
    <row r="36" spans="1:80" x14ac:dyDescent="0.75">
      <c r="A36" t="s">
        <v>29</v>
      </c>
      <c r="B36" s="2">
        <f>IF(22500-B33&gt;0, B33,22500)</f>
        <v>16635.071999999986</v>
      </c>
      <c r="C36" s="2">
        <f t="shared" ref="C36:V36" si="115">IF(22500-C33&gt;0, C33,22500)</f>
        <v>14565.071999999986</v>
      </c>
      <c r="D36" s="2">
        <f t="shared" si="115"/>
        <v>22500</v>
      </c>
      <c r="E36" s="2">
        <f t="shared" si="115"/>
        <v>22500</v>
      </c>
      <c r="F36" s="2">
        <f t="shared" si="115"/>
        <v>22500</v>
      </c>
      <c r="G36" s="2">
        <f t="shared" si="115"/>
        <v>22500</v>
      </c>
      <c r="H36" s="2">
        <f t="shared" si="115"/>
        <v>22500</v>
      </c>
      <c r="I36" s="2">
        <f t="shared" si="115"/>
        <v>22500</v>
      </c>
      <c r="J36" s="2">
        <f t="shared" si="115"/>
        <v>22500</v>
      </c>
      <c r="K36" s="2">
        <f t="shared" si="115"/>
        <v>22500</v>
      </c>
      <c r="L36" s="2">
        <f t="shared" si="115"/>
        <v>22500</v>
      </c>
      <c r="M36" s="2">
        <f t="shared" si="115"/>
        <v>22500</v>
      </c>
      <c r="N36" s="2">
        <f t="shared" si="115"/>
        <v>22500</v>
      </c>
      <c r="O36" s="2">
        <f t="shared" si="115"/>
        <v>22500</v>
      </c>
      <c r="P36" s="2">
        <f t="shared" si="115"/>
        <v>22500</v>
      </c>
      <c r="Q36" s="2">
        <f t="shared" si="115"/>
        <v>22500</v>
      </c>
      <c r="R36" s="2">
        <f t="shared" si="115"/>
        <v>22500</v>
      </c>
      <c r="S36" s="2">
        <f t="shared" si="115"/>
        <v>22500</v>
      </c>
      <c r="T36" s="2">
        <f t="shared" si="115"/>
        <v>22500</v>
      </c>
      <c r="U36" s="2">
        <f t="shared" si="115"/>
        <v>22500</v>
      </c>
      <c r="V36" s="2">
        <f t="shared" si="115"/>
        <v>22500</v>
      </c>
      <c r="W36" t="s">
        <v>52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52</v>
      </c>
      <c r="AW36" t="s">
        <v>52</v>
      </c>
      <c r="AX36" t="s">
        <v>52</v>
      </c>
      <c r="AY36" t="s">
        <v>52</v>
      </c>
      <c r="AZ36" t="s">
        <v>52</v>
      </c>
      <c r="BA36" t="s">
        <v>52</v>
      </c>
      <c r="BB36" t="s">
        <v>52</v>
      </c>
      <c r="BC36" t="s">
        <v>52</v>
      </c>
      <c r="BD36" t="s">
        <v>52</v>
      </c>
      <c r="BE36" t="s">
        <v>52</v>
      </c>
      <c r="BF36" t="s">
        <v>52</v>
      </c>
      <c r="BG36" t="s">
        <v>52</v>
      </c>
      <c r="BH36" t="s">
        <v>52</v>
      </c>
      <c r="BI36" t="s">
        <v>52</v>
      </c>
      <c r="BJ36" t="s">
        <v>52</v>
      </c>
      <c r="BK36" t="s">
        <v>52</v>
      </c>
      <c r="BL36" t="s">
        <v>52</v>
      </c>
      <c r="BM36" t="s">
        <v>52</v>
      </c>
      <c r="BN36" t="s">
        <v>52</v>
      </c>
      <c r="BO36" t="s">
        <v>52</v>
      </c>
      <c r="BP36" t="s">
        <v>52</v>
      </c>
      <c r="BQ36" t="s">
        <v>52</v>
      </c>
      <c r="BR36" t="s">
        <v>52</v>
      </c>
      <c r="BS36" t="s">
        <v>52</v>
      </c>
      <c r="BT36" t="s">
        <v>52</v>
      </c>
      <c r="BU36" t="s">
        <v>52</v>
      </c>
      <c r="BV36" t="s">
        <v>52</v>
      </c>
      <c r="BW36" t="s">
        <v>52</v>
      </c>
      <c r="BX36" t="s">
        <v>52</v>
      </c>
      <c r="BY36" t="s">
        <v>52</v>
      </c>
      <c r="BZ36" t="s">
        <v>52</v>
      </c>
      <c r="CA36" t="s">
        <v>52</v>
      </c>
      <c r="CB36" t="s">
        <v>52</v>
      </c>
    </row>
    <row r="37" spans="1:80" x14ac:dyDescent="0.75">
      <c r="A37" t="s">
        <v>111</v>
      </c>
      <c r="B37" s="2">
        <f>B6*0.01</f>
        <v>498.02399999999994</v>
      </c>
      <c r="C37" s="2">
        <f>C6*0.01</f>
        <v>498.02399999999994</v>
      </c>
      <c r="D37" s="2">
        <f>D6*0.05</f>
        <v>3267.72</v>
      </c>
      <c r="E37" s="2">
        <f t="shared" ref="E37:V37" si="116">E6*0.05</f>
        <v>3763.4399999999996</v>
      </c>
      <c r="F37" s="2">
        <f t="shared" si="116"/>
        <v>4429.62</v>
      </c>
      <c r="G37" s="2">
        <f t="shared" si="116"/>
        <v>4429.62</v>
      </c>
      <c r="H37" s="2">
        <f t="shared" si="116"/>
        <v>4642.2</v>
      </c>
      <c r="I37" s="2">
        <f t="shared" si="116"/>
        <v>4642.2</v>
      </c>
      <c r="J37" s="2">
        <f t="shared" si="116"/>
        <v>4875.3</v>
      </c>
      <c r="K37" s="2">
        <f t="shared" si="116"/>
        <v>4875.3</v>
      </c>
      <c r="L37" s="2">
        <f t="shared" si="116"/>
        <v>5025.420000000001</v>
      </c>
      <c r="M37" s="2">
        <f t="shared" si="116"/>
        <v>5652</v>
      </c>
      <c r="N37" s="2">
        <f t="shared" si="116"/>
        <v>5932.98</v>
      </c>
      <c r="O37" s="2">
        <f t="shared" si="116"/>
        <v>5932.98</v>
      </c>
      <c r="P37" s="2">
        <f t="shared" si="116"/>
        <v>6128.6399999999994</v>
      </c>
      <c r="Q37" s="2">
        <f t="shared" si="116"/>
        <v>6128.6399999999994</v>
      </c>
      <c r="R37" s="2">
        <f t="shared" si="116"/>
        <v>6240.9600000000009</v>
      </c>
      <c r="S37" s="2">
        <f t="shared" si="116"/>
        <v>6240.9600000000009</v>
      </c>
      <c r="T37" s="2">
        <f t="shared" si="116"/>
        <v>7028.2799999999988</v>
      </c>
      <c r="U37" s="2">
        <f t="shared" si="116"/>
        <v>7028.2799999999988</v>
      </c>
      <c r="V37" s="2">
        <f t="shared" si="116"/>
        <v>7219.6200000000017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  <c r="AV37" t="s">
        <v>52</v>
      </c>
      <c r="AW37" t="s">
        <v>52</v>
      </c>
      <c r="AX37" t="s">
        <v>52</v>
      </c>
      <c r="AY37" t="s">
        <v>52</v>
      </c>
      <c r="AZ37" t="s">
        <v>52</v>
      </c>
      <c r="BA37" t="s">
        <v>52</v>
      </c>
      <c r="BB37" t="s">
        <v>52</v>
      </c>
      <c r="BC37" t="s">
        <v>52</v>
      </c>
      <c r="BD37" t="s">
        <v>52</v>
      </c>
      <c r="BE37" t="s">
        <v>52</v>
      </c>
      <c r="BF37" t="s">
        <v>52</v>
      </c>
      <c r="BG37" t="s">
        <v>52</v>
      </c>
      <c r="BH37" t="s">
        <v>52</v>
      </c>
      <c r="BI37" t="s">
        <v>52</v>
      </c>
      <c r="BJ37" t="s">
        <v>52</v>
      </c>
      <c r="BK37" t="s">
        <v>52</v>
      </c>
      <c r="BL37" t="s">
        <v>52</v>
      </c>
      <c r="BM37" t="s">
        <v>52</v>
      </c>
      <c r="BN37" t="s">
        <v>52</v>
      </c>
      <c r="BO37" t="s">
        <v>52</v>
      </c>
      <c r="BP37" t="s">
        <v>52</v>
      </c>
      <c r="BQ37" t="s">
        <v>52</v>
      </c>
      <c r="BR37" t="s">
        <v>52</v>
      </c>
      <c r="BS37" t="s">
        <v>52</v>
      </c>
      <c r="BT37" t="s">
        <v>52</v>
      </c>
      <c r="BU37" t="s">
        <v>52</v>
      </c>
      <c r="BV37" t="s">
        <v>52</v>
      </c>
      <c r="BW37" t="s">
        <v>52</v>
      </c>
      <c r="BX37" t="s">
        <v>52</v>
      </c>
      <c r="BY37" t="s">
        <v>52</v>
      </c>
      <c r="BZ37" t="s">
        <v>52</v>
      </c>
      <c r="CA37" t="s">
        <v>52</v>
      </c>
      <c r="CB37" t="s">
        <v>52</v>
      </c>
    </row>
    <row r="38" spans="1:80" x14ac:dyDescent="0.75">
      <c r="A38" t="s">
        <v>30</v>
      </c>
      <c r="B38" s="2">
        <f>B36+B37</f>
        <v>17133.095999999987</v>
      </c>
      <c r="C38" s="2">
        <f>(B38+C36+C37)*(1+$B$35)</f>
        <v>34127.963519999976</v>
      </c>
      <c r="D38" s="2">
        <f t="shared" ref="D38:V38" si="117">(C38+D36+D37)*(1+$B$35)</f>
        <v>63489.424531199977</v>
      </c>
      <c r="E38" s="2">
        <f t="shared" si="117"/>
        <v>95138.036403071979</v>
      </c>
      <c r="F38" s="2">
        <f t="shared" si="117"/>
        <v>129391.7157872563</v>
      </c>
      <c r="G38" s="2">
        <f t="shared" si="117"/>
        <v>165700.61593449168</v>
      </c>
      <c r="H38" s="2">
        <f t="shared" si="117"/>
        <v>204413.3848905612</v>
      </c>
      <c r="I38" s="2">
        <f t="shared" si="117"/>
        <v>245448.91998399489</v>
      </c>
      <c r="J38" s="2">
        <f t="shared" si="117"/>
        <v>289193.67318303464</v>
      </c>
      <c r="K38" s="2">
        <f t="shared" si="117"/>
        <v>335563.11157401674</v>
      </c>
      <c r="L38" s="2">
        <f t="shared" si="117"/>
        <v>384873.84346845775</v>
      </c>
      <c r="M38" s="2">
        <f t="shared" si="117"/>
        <v>437807.39407656522</v>
      </c>
      <c r="N38" s="2">
        <f t="shared" si="117"/>
        <v>494214.79652115912</v>
      </c>
      <c r="O38" s="2">
        <f t="shared" si="117"/>
        <v>554006.64311242872</v>
      </c>
      <c r="P38" s="2">
        <f t="shared" si="117"/>
        <v>617593.40009917447</v>
      </c>
      <c r="Q38" s="2">
        <f t="shared" si="117"/>
        <v>684995.362505125</v>
      </c>
      <c r="R38" s="2">
        <f t="shared" si="117"/>
        <v>756560.50185543252</v>
      </c>
      <c r="S38" s="2">
        <f t="shared" si="117"/>
        <v>832419.54956675845</v>
      </c>
      <c r="T38" s="2">
        <f>(S38+T36+T37)*(1+$B$35)</f>
        <v>913664.69934076408</v>
      </c>
      <c r="U38" s="2">
        <f t="shared" si="117"/>
        <v>999784.55810121004</v>
      </c>
      <c r="V38" s="2">
        <f t="shared" si="117"/>
        <v>1091274.4287872827</v>
      </c>
      <c r="W38" s="2">
        <f>(V38+W33)*(1+$B$35)</f>
        <v>1097250.3891899618</v>
      </c>
      <c r="X38" s="2">
        <f t="shared" ref="X38:CB38" si="118">(W38+X33)*(1+$B$35)</f>
        <v>1103584.9072168018</v>
      </c>
      <c r="Y38" s="2">
        <f t="shared" si="118"/>
        <v>1110299.4963252521</v>
      </c>
      <c r="Z38" s="2">
        <f t="shared" si="118"/>
        <v>1117416.9607802096</v>
      </c>
      <c r="AA38" s="2">
        <f t="shared" si="118"/>
        <v>1124961.4731024646</v>
      </c>
      <c r="AB38" s="2">
        <f t="shared" si="118"/>
        <v>1132958.6561640548</v>
      </c>
      <c r="AC38" s="2">
        <f t="shared" si="118"/>
        <v>1141435.6702093403</v>
      </c>
      <c r="AD38" s="2">
        <f t="shared" si="118"/>
        <v>1150421.3050973429</v>
      </c>
      <c r="AE38" s="2">
        <f t="shared" si="118"/>
        <v>1159946.0780786257</v>
      </c>
      <c r="AF38" s="2">
        <f t="shared" si="118"/>
        <v>1170042.3374387855</v>
      </c>
      <c r="AG38" s="2">
        <f t="shared" si="118"/>
        <v>1180744.372360555</v>
      </c>
      <c r="AH38" s="2">
        <f t="shared" si="118"/>
        <v>1192088.5293776307</v>
      </c>
      <c r="AI38" s="2">
        <f t="shared" si="118"/>
        <v>1204113.3358157307</v>
      </c>
      <c r="AJ38" s="2">
        <f t="shared" si="118"/>
        <v>1216859.630640117</v>
      </c>
      <c r="AK38" s="2">
        <f t="shared" si="118"/>
        <v>1230370.7031539662</v>
      </c>
      <c r="AL38" s="2">
        <f t="shared" si="118"/>
        <v>1244692.4400186464</v>
      </c>
      <c r="AM38" s="2">
        <f t="shared" si="118"/>
        <v>1259873.4810952074</v>
      </c>
      <c r="AN38" s="2">
        <f t="shared" si="118"/>
        <v>1275965.3846363621</v>
      </c>
      <c r="AO38" s="2">
        <f t="shared" si="118"/>
        <v>1293022.8023899861</v>
      </c>
      <c r="AP38" s="2">
        <f t="shared" si="118"/>
        <v>1311103.6652088275</v>
      </c>
      <c r="AQ38" s="2">
        <f t="shared" si="118"/>
        <v>1330269.3797967995</v>
      </c>
      <c r="AR38" s="2">
        <f t="shared" si="118"/>
        <v>1350585.0372600497</v>
      </c>
      <c r="AS38" s="2">
        <f t="shared" si="118"/>
        <v>1372119.634171095</v>
      </c>
      <c r="AT38" s="2">
        <f t="shared" si="118"/>
        <v>1394946.306896803</v>
      </c>
      <c r="AU38" s="2">
        <f t="shared" si="118"/>
        <v>1419142.5799860535</v>
      </c>
      <c r="AV38" s="2">
        <f t="shared" si="118"/>
        <v>1444790.6294606591</v>
      </c>
      <c r="AW38" s="2">
        <f t="shared" si="118"/>
        <v>1471977.561903741</v>
      </c>
      <c r="AX38" s="2">
        <f t="shared" si="118"/>
        <v>1500795.7102934078</v>
      </c>
      <c r="AY38" s="2">
        <f t="shared" si="118"/>
        <v>1531342.9475864545</v>
      </c>
      <c r="AZ38" s="2">
        <f t="shared" si="118"/>
        <v>1563723.0191170841</v>
      </c>
      <c r="BA38" s="2">
        <f t="shared" si="118"/>
        <v>1598045.8949395514</v>
      </c>
      <c r="BB38" s="2">
        <f t="shared" si="118"/>
        <v>1634428.1433113667</v>
      </c>
      <c r="BC38" s="2">
        <f t="shared" si="118"/>
        <v>1672993.326585491</v>
      </c>
      <c r="BD38" s="2">
        <f t="shared" si="118"/>
        <v>1713872.4208560628</v>
      </c>
      <c r="BE38" s="2">
        <f t="shared" si="118"/>
        <v>1757204.2607828688</v>
      </c>
      <c r="BF38" s="2">
        <f t="shared" si="118"/>
        <v>1803136.0111052834</v>
      </c>
      <c r="BG38" s="2">
        <f t="shared" si="118"/>
        <v>1851823.6664470427</v>
      </c>
      <c r="BH38" s="2">
        <f t="shared" si="118"/>
        <v>1903432.5811093077</v>
      </c>
      <c r="BI38" s="2">
        <f t="shared" si="118"/>
        <v>1958138.0306513086</v>
      </c>
      <c r="BJ38" s="2">
        <f t="shared" si="118"/>
        <v>2016125.8071658295</v>
      </c>
      <c r="BK38" s="2">
        <f t="shared" si="118"/>
        <v>2077592.8502712215</v>
      </c>
      <c r="BL38" s="2">
        <f t="shared" si="118"/>
        <v>2142747.9159629373</v>
      </c>
      <c r="BM38" s="2">
        <f t="shared" si="118"/>
        <v>2211812.285596156</v>
      </c>
      <c r="BN38" s="2">
        <f t="shared" si="118"/>
        <v>2285020.5174073679</v>
      </c>
      <c r="BO38" s="2">
        <f t="shared" si="118"/>
        <v>2362621.2431272524</v>
      </c>
      <c r="BP38" s="2">
        <f t="shared" si="118"/>
        <v>2444878.01239033</v>
      </c>
      <c r="BQ38" s="2">
        <f t="shared" si="118"/>
        <v>2532070.1878091921</v>
      </c>
      <c r="BR38" s="2">
        <f t="shared" si="118"/>
        <v>2624493.8937531859</v>
      </c>
      <c r="BS38" s="2">
        <f t="shared" si="118"/>
        <v>2722463.0220538196</v>
      </c>
      <c r="BT38" s="2">
        <f t="shared" si="118"/>
        <v>2826310.2980524912</v>
      </c>
      <c r="BU38" s="2">
        <f t="shared" si="118"/>
        <v>2936388.4106110828</v>
      </c>
      <c r="BV38" s="2">
        <f t="shared" si="118"/>
        <v>3053071.2099231901</v>
      </c>
      <c r="BW38" s="2">
        <f t="shared" si="118"/>
        <v>3176754.9771940238</v>
      </c>
      <c r="BX38" s="2">
        <f t="shared" si="118"/>
        <v>3307859.7705011074</v>
      </c>
      <c r="BY38" s="2">
        <f t="shared" si="118"/>
        <v>3446830.8514066162</v>
      </c>
      <c r="BZ38" s="2">
        <f t="shared" si="118"/>
        <v>3594140.1971664554</v>
      </c>
      <c r="CA38" s="2">
        <f t="shared" si="118"/>
        <v>3750288.1036718851</v>
      </c>
      <c r="CB38" s="2">
        <f t="shared" si="118"/>
        <v>3915804.8845676407</v>
      </c>
    </row>
    <row r="40" spans="1:80" x14ac:dyDescent="0.75">
      <c r="A40" s="4" t="s">
        <v>33</v>
      </c>
      <c r="B40" s="2">
        <f>B33-B36</f>
        <v>0</v>
      </c>
      <c r="C40" s="2">
        <f>C33-C36</f>
        <v>0</v>
      </c>
      <c r="D40" s="2">
        <f>D33-D36</f>
        <v>6999.8519999999844</v>
      </c>
      <c r="E40" s="2">
        <f>E33-E36</f>
        <v>13938.068999999981</v>
      </c>
      <c r="F40" s="2">
        <f t="shared" ref="F40:V40" si="119">F33-F36</f>
        <v>28385.573249999987</v>
      </c>
      <c r="G40" s="2">
        <f t="shared" si="119"/>
        <v>33669.475312499984</v>
      </c>
      <c r="H40" s="2">
        <f t="shared" si="119"/>
        <v>34981.560478124986</v>
      </c>
      <c r="I40" s="2">
        <f t="shared" si="119"/>
        <v>32207.562502031215</v>
      </c>
      <c r="J40" s="2">
        <f t="shared" si="119"/>
        <v>33630.524627132778</v>
      </c>
      <c r="K40" s="2">
        <f t="shared" si="119"/>
        <v>30572.19185848943</v>
      </c>
      <c r="L40" s="2">
        <f t="shared" si="119"/>
        <v>30153.174451413899</v>
      </c>
      <c r="M40" s="2">
        <f t="shared" si="119"/>
        <v>42419.870573984575</v>
      </c>
      <c r="N40" s="2">
        <f t="shared" si="119"/>
        <v>44105.696102683767</v>
      </c>
      <c r="O40" s="2">
        <f t="shared" si="119"/>
        <v>40388.273507817968</v>
      </c>
      <c r="P40" s="2">
        <f t="shared" si="119"/>
        <v>40124.255783208864</v>
      </c>
      <c r="Q40" s="2">
        <f t="shared" si="119"/>
        <v>36025.797372369299</v>
      </c>
      <c r="R40" s="2">
        <f t="shared" si="119"/>
        <v>33811.568040987797</v>
      </c>
      <c r="S40" s="2">
        <f t="shared" si="119"/>
        <v>29293.017643037179</v>
      </c>
      <c r="T40" s="2">
        <f t="shared" si="119"/>
        <v>42005.011725189033</v>
      </c>
      <c r="U40" s="2">
        <f t="shared" si="119"/>
        <v>37023.309911448479</v>
      </c>
      <c r="V40" s="2">
        <f t="shared" si="119"/>
        <v>35351.447007020935</v>
      </c>
    </row>
    <row r="42" spans="1:80" x14ac:dyDescent="0.75">
      <c r="A42" t="s">
        <v>107</v>
      </c>
      <c r="B42" s="1">
        <f>IF(B40&lt;6000,B40,6000)</f>
        <v>0</v>
      </c>
      <c r="C42" s="1">
        <f>IF(C40&lt;6000,C40,6000)</f>
        <v>0</v>
      </c>
      <c r="D42" s="1">
        <f t="shared" ref="D42:V42" si="120">IF(D40&lt;6000,D40,6000)</f>
        <v>6000</v>
      </c>
      <c r="E42" s="1">
        <f t="shared" si="120"/>
        <v>6000</v>
      </c>
      <c r="F42" s="1">
        <f t="shared" si="120"/>
        <v>6000</v>
      </c>
      <c r="G42" s="1">
        <f t="shared" si="120"/>
        <v>6000</v>
      </c>
      <c r="H42" s="1">
        <f t="shared" si="120"/>
        <v>6000</v>
      </c>
      <c r="I42" s="1">
        <f t="shared" si="120"/>
        <v>6000</v>
      </c>
      <c r="J42" s="1">
        <f t="shared" si="120"/>
        <v>6000</v>
      </c>
      <c r="K42" s="1">
        <f t="shared" si="120"/>
        <v>6000</v>
      </c>
      <c r="L42" s="1">
        <f t="shared" si="120"/>
        <v>6000</v>
      </c>
      <c r="M42" s="1">
        <f t="shared" si="120"/>
        <v>6000</v>
      </c>
      <c r="N42" s="1">
        <f t="shared" si="120"/>
        <v>6000</v>
      </c>
      <c r="O42" s="1">
        <f t="shared" si="120"/>
        <v>6000</v>
      </c>
      <c r="P42" s="1">
        <f t="shared" si="120"/>
        <v>6000</v>
      </c>
      <c r="Q42" s="1">
        <f t="shared" si="120"/>
        <v>6000</v>
      </c>
      <c r="R42" s="1">
        <f t="shared" si="120"/>
        <v>6000</v>
      </c>
      <c r="S42" s="1">
        <f t="shared" si="120"/>
        <v>6000</v>
      </c>
      <c r="T42" s="1">
        <f t="shared" si="120"/>
        <v>6000</v>
      </c>
      <c r="U42" s="1">
        <f t="shared" si="120"/>
        <v>6000</v>
      </c>
      <c r="V42" s="1">
        <f t="shared" si="120"/>
        <v>6000</v>
      </c>
    </row>
    <row r="43" spans="1:80" x14ac:dyDescent="0.75">
      <c r="A43" t="s">
        <v>108</v>
      </c>
      <c r="B43" s="1">
        <f>IF(B40-B42&gt;6000,6000,B40-B42)</f>
        <v>0</v>
      </c>
      <c r="C43" s="1">
        <f>IF(C40-C42&gt;6000,6000,C40-C42)</f>
        <v>0</v>
      </c>
      <c r="D43" s="1">
        <f>IF(D40-D42&gt;6000,6000,D40-D42)</f>
        <v>999.8519999999844</v>
      </c>
      <c r="E43" s="1">
        <f t="shared" ref="E43:V43" si="121">IF(E40-E42&gt;6000,6000,E40-E42)</f>
        <v>6000</v>
      </c>
      <c r="F43" s="1">
        <f t="shared" si="121"/>
        <v>6000</v>
      </c>
      <c r="G43" s="1">
        <f t="shared" si="121"/>
        <v>6000</v>
      </c>
      <c r="H43" s="1">
        <f t="shared" si="121"/>
        <v>6000</v>
      </c>
      <c r="I43" s="1">
        <f t="shared" si="121"/>
        <v>6000</v>
      </c>
      <c r="J43" s="1">
        <f t="shared" si="121"/>
        <v>6000</v>
      </c>
      <c r="K43" s="1">
        <f t="shared" si="121"/>
        <v>6000</v>
      </c>
      <c r="L43" s="1">
        <f t="shared" si="121"/>
        <v>6000</v>
      </c>
      <c r="M43" s="1">
        <f t="shared" si="121"/>
        <v>6000</v>
      </c>
      <c r="N43" s="1">
        <f t="shared" si="121"/>
        <v>6000</v>
      </c>
      <c r="O43" s="1">
        <f t="shared" si="121"/>
        <v>6000</v>
      </c>
      <c r="P43" s="1">
        <f t="shared" si="121"/>
        <v>6000</v>
      </c>
      <c r="Q43" s="1">
        <f t="shared" si="121"/>
        <v>6000</v>
      </c>
      <c r="R43" s="1">
        <f t="shared" si="121"/>
        <v>6000</v>
      </c>
      <c r="S43" s="1">
        <f t="shared" si="121"/>
        <v>6000</v>
      </c>
      <c r="T43" s="1">
        <f t="shared" si="121"/>
        <v>6000</v>
      </c>
      <c r="U43" s="1">
        <f t="shared" si="121"/>
        <v>6000</v>
      </c>
      <c r="V43" s="1">
        <f t="shared" si="121"/>
        <v>6000</v>
      </c>
    </row>
    <row r="44" spans="1:80" x14ac:dyDescent="0.75">
      <c r="A44" t="s">
        <v>31</v>
      </c>
      <c r="B44" s="2">
        <f>B42*(1+$B$35)</f>
        <v>0</v>
      </c>
      <c r="C44" s="2">
        <f>(C42+B44)*(1+$B$35)</f>
        <v>0</v>
      </c>
      <c r="D44" s="2">
        <f>(D42+C44)*(1+$B$35)</f>
        <v>6360</v>
      </c>
      <c r="E44" s="2">
        <f>(E42+D44)*(1+$B$35)</f>
        <v>13101.6</v>
      </c>
      <c r="F44" s="2">
        <f>(F42+E44)*(1+$B$35)</f>
        <v>20247.696</v>
      </c>
      <c r="G44" s="2">
        <f t="shared" ref="G44:V44" si="122">(G42+F44)*(1+$B$35)</f>
        <v>27822.55776</v>
      </c>
      <c r="H44" s="2">
        <f t="shared" si="122"/>
        <v>35851.911225600001</v>
      </c>
      <c r="I44" s="2">
        <f t="shared" si="122"/>
        <v>44363.025899136002</v>
      </c>
      <c r="J44" s="2">
        <f t="shared" si="122"/>
        <v>53384.807453084162</v>
      </c>
      <c r="K44" s="2">
        <f t="shared" si="122"/>
        <v>62947.895900269214</v>
      </c>
      <c r="L44" s="2">
        <f t="shared" si="122"/>
        <v>73084.769654285366</v>
      </c>
      <c r="M44" s="2">
        <f t="shared" si="122"/>
        <v>83829.85583354249</v>
      </c>
      <c r="N44" s="2">
        <f t="shared" si="122"/>
        <v>95219.647183555047</v>
      </c>
      <c r="O44" s="2">
        <f t="shared" si="122"/>
        <v>107292.82601456836</v>
      </c>
      <c r="P44" s="2">
        <f t="shared" si="122"/>
        <v>120090.39557544247</v>
      </c>
      <c r="Q44" s="2">
        <f t="shared" si="122"/>
        <v>133655.81930996903</v>
      </c>
      <c r="R44" s="2">
        <f t="shared" si="122"/>
        <v>148035.16846856716</v>
      </c>
      <c r="S44" s="2">
        <f t="shared" si="122"/>
        <v>163277.27857668122</v>
      </c>
      <c r="T44" s="2">
        <f t="shared" si="122"/>
        <v>179433.91529128209</v>
      </c>
      <c r="U44" s="2">
        <f t="shared" si="122"/>
        <v>196559.95020875902</v>
      </c>
      <c r="V44" s="2">
        <f t="shared" si="122"/>
        <v>214713.54722128456</v>
      </c>
      <c r="W44" s="2">
        <f>(W42+V44)*(1+$B$35)</f>
        <v>227596.36005456164</v>
      </c>
      <c r="X44" s="2">
        <f t="shared" ref="X44:CB45" si="123">(X42+W44)*(1+$B$35)</f>
        <v>241252.14165783534</v>
      </c>
      <c r="Y44" s="2">
        <f t="shared" si="123"/>
        <v>255727.27015730547</v>
      </c>
      <c r="Z44" s="2">
        <f t="shared" si="123"/>
        <v>271070.90636674379</v>
      </c>
      <c r="AA44" s="2">
        <f t="shared" si="123"/>
        <v>287335.16074874846</v>
      </c>
      <c r="AB44" s="2">
        <f t="shared" si="123"/>
        <v>304575.27039367339</v>
      </c>
      <c r="AC44" s="2">
        <f t="shared" si="123"/>
        <v>322849.78661729378</v>
      </c>
      <c r="AD44" s="2">
        <f t="shared" si="123"/>
        <v>342220.77381433145</v>
      </c>
      <c r="AE44" s="2">
        <f t="shared" si="123"/>
        <v>362754.02024319133</v>
      </c>
      <c r="AF44" s="2">
        <f t="shared" si="123"/>
        <v>384519.26145778282</v>
      </c>
      <c r="AG44" s="2">
        <f t="shared" si="123"/>
        <v>407590.41714524978</v>
      </c>
      <c r="AH44" s="2">
        <f t="shared" si="123"/>
        <v>432045.84217396477</v>
      </c>
      <c r="AI44" s="2">
        <f t="shared" si="123"/>
        <v>457968.59270440269</v>
      </c>
      <c r="AJ44" s="2">
        <f t="shared" si="123"/>
        <v>485446.70826666686</v>
      </c>
      <c r="AK44" s="2">
        <f t="shared" si="123"/>
        <v>514573.51076266688</v>
      </c>
      <c r="AL44" s="2">
        <f t="shared" si="123"/>
        <v>545447.92140842695</v>
      </c>
      <c r="AM44" s="2">
        <f t="shared" si="123"/>
        <v>578174.79669293261</v>
      </c>
      <c r="AN44" s="2">
        <f t="shared" si="123"/>
        <v>612865.28449450864</v>
      </c>
      <c r="AO44" s="2">
        <f t="shared" si="123"/>
        <v>649637.20156417915</v>
      </c>
      <c r="AP44" s="2">
        <f t="shared" si="123"/>
        <v>688615.43365802988</v>
      </c>
      <c r="AQ44" s="2">
        <f t="shared" si="123"/>
        <v>729932.35967751173</v>
      </c>
      <c r="AR44" s="2">
        <f t="shared" si="123"/>
        <v>773728.30125816248</v>
      </c>
      <c r="AS44" s="2">
        <f t="shared" si="123"/>
        <v>820151.99933365232</v>
      </c>
      <c r="AT44" s="2">
        <f t="shared" si="123"/>
        <v>869361.11929367145</v>
      </c>
      <c r="AU44" s="2">
        <f t="shared" si="123"/>
        <v>921522.78645129176</v>
      </c>
      <c r="AV44" s="2">
        <f t="shared" si="123"/>
        <v>976814.15363836929</v>
      </c>
      <c r="AW44" s="2">
        <f t="shared" si="123"/>
        <v>1035423.0028566715</v>
      </c>
      <c r="AX44" s="2">
        <f t="shared" si="123"/>
        <v>1097548.3830280718</v>
      </c>
      <c r="AY44" s="2">
        <f t="shared" si="123"/>
        <v>1163401.2860097561</v>
      </c>
      <c r="AZ44" s="2">
        <f t="shared" si="123"/>
        <v>1233205.3631703416</v>
      </c>
      <c r="BA44" s="2">
        <f t="shared" si="123"/>
        <v>1307197.684960562</v>
      </c>
      <c r="BB44" s="2">
        <f t="shared" si="123"/>
        <v>1385629.5460581959</v>
      </c>
      <c r="BC44" s="2">
        <f t="shared" si="123"/>
        <v>1468767.3188216877</v>
      </c>
      <c r="BD44" s="2">
        <f t="shared" si="123"/>
        <v>1556893.3579509892</v>
      </c>
      <c r="BE44" s="2">
        <f t="shared" si="123"/>
        <v>1650306.9594280487</v>
      </c>
      <c r="BF44" s="2">
        <f t="shared" si="123"/>
        <v>1749325.3769937316</v>
      </c>
      <c r="BG44" s="2">
        <f t="shared" si="123"/>
        <v>1854284.8996133555</v>
      </c>
      <c r="BH44" s="2">
        <f t="shared" si="123"/>
        <v>1965541.993590157</v>
      </c>
      <c r="BI44" s="2">
        <f t="shared" si="123"/>
        <v>2083474.5132055664</v>
      </c>
      <c r="BJ44" s="2">
        <f t="shared" si="123"/>
        <v>2208482.9839979005</v>
      </c>
      <c r="BK44" s="2">
        <f t="shared" si="123"/>
        <v>2340991.9630377744</v>
      </c>
      <c r="BL44" s="2">
        <f t="shared" si="123"/>
        <v>2481451.4808200411</v>
      </c>
      <c r="BM44" s="2">
        <f t="shared" si="123"/>
        <v>2630338.5696692439</v>
      </c>
      <c r="BN44" s="2">
        <f t="shared" si="123"/>
        <v>2788158.8838493987</v>
      </c>
      <c r="BO44" s="2">
        <f t="shared" si="123"/>
        <v>2955448.4168803627</v>
      </c>
      <c r="BP44" s="2">
        <f t="shared" si="123"/>
        <v>3132775.3218931844</v>
      </c>
      <c r="BQ44" s="2">
        <f t="shared" si="123"/>
        <v>3320741.8412067755</v>
      </c>
      <c r="BR44" s="2">
        <f t="shared" si="123"/>
        <v>3519986.3516791821</v>
      </c>
      <c r="BS44" s="2">
        <f t="shared" si="123"/>
        <v>3731185.5327799334</v>
      </c>
      <c r="BT44" s="2">
        <f t="shared" si="123"/>
        <v>3955056.6647467297</v>
      </c>
      <c r="BU44" s="2">
        <f t="shared" si="123"/>
        <v>4192360.0646315338</v>
      </c>
      <c r="BV44" s="2">
        <f t="shared" si="123"/>
        <v>4443901.6685094256</v>
      </c>
      <c r="BW44" s="2">
        <f t="shared" si="123"/>
        <v>4710535.7686199909</v>
      </c>
      <c r="BX44" s="2">
        <f t="shared" si="123"/>
        <v>4993167.9147371911</v>
      </c>
      <c r="BY44" s="2">
        <f t="shared" si="123"/>
        <v>5292757.9896214232</v>
      </c>
      <c r="BZ44" s="2">
        <f t="shared" si="123"/>
        <v>5610323.4689987088</v>
      </c>
      <c r="CA44" s="2">
        <f t="shared" si="123"/>
        <v>5946942.8771386314</v>
      </c>
      <c r="CB44" s="2">
        <f t="shared" si="123"/>
        <v>6303759.4497669498</v>
      </c>
    </row>
    <row r="45" spans="1:80" x14ac:dyDescent="0.75">
      <c r="A45" t="s">
        <v>32</v>
      </c>
      <c r="B45" s="2">
        <f>B43*(1+$B$35)</f>
        <v>0</v>
      </c>
      <c r="C45" s="2">
        <f>(C43+B45)*(1+$B$35)</f>
        <v>0</v>
      </c>
      <c r="D45" s="2">
        <f>(D43+C45)*(1+$B$35)</f>
        <v>1059.8431199999836</v>
      </c>
      <c r="E45" s="2">
        <f>(E43+D45)*(1+$B$35)</f>
        <v>7483.4337071999826</v>
      </c>
      <c r="F45" s="2">
        <f t="shared" ref="F45:BQ45" si="124">(F43+E45)*(1+$B$35)</f>
        <v>14292.439729631984</v>
      </c>
      <c r="G45" s="2">
        <f t="shared" si="124"/>
        <v>21509.986113409905</v>
      </c>
      <c r="H45" s="2">
        <f t="shared" si="124"/>
        <v>29160.585280214502</v>
      </c>
      <c r="I45" s="2">
        <f t="shared" si="124"/>
        <v>37270.220397027377</v>
      </c>
      <c r="J45" s="2">
        <f t="shared" si="124"/>
        <v>45866.43362084902</v>
      </c>
      <c r="K45" s="2">
        <f t="shared" si="124"/>
        <v>54978.419638099964</v>
      </c>
      <c r="L45" s="2">
        <f t="shared" si="124"/>
        <v>64637.124816385964</v>
      </c>
      <c r="M45" s="2">
        <f t="shared" si="124"/>
        <v>74875.352305369131</v>
      </c>
      <c r="N45" s="2">
        <f t="shared" si="124"/>
        <v>85727.873443691278</v>
      </c>
      <c r="O45" s="2">
        <f t="shared" si="124"/>
        <v>97231.545850312759</v>
      </c>
      <c r="P45" s="2">
        <f t="shared" si="124"/>
        <v>109425.43860133152</v>
      </c>
      <c r="Q45" s="2">
        <f t="shared" si="124"/>
        <v>122350.96491741142</v>
      </c>
      <c r="R45" s="2">
        <f t="shared" si="124"/>
        <v>136052.0228124561</v>
      </c>
      <c r="S45" s="2">
        <f t="shared" si="124"/>
        <v>150575.14418120348</v>
      </c>
      <c r="T45" s="2">
        <f t="shared" si="124"/>
        <v>165969.65283207569</v>
      </c>
      <c r="U45" s="2">
        <f t="shared" si="124"/>
        <v>182287.83200200024</v>
      </c>
      <c r="V45" s="2">
        <f t="shared" si="124"/>
        <v>199585.10192212026</v>
      </c>
      <c r="W45" s="2">
        <f t="shared" si="124"/>
        <v>211560.20803744748</v>
      </c>
      <c r="X45" s="2">
        <f t="shared" si="124"/>
        <v>224253.82051969433</v>
      </c>
      <c r="Y45" s="2">
        <f t="shared" si="124"/>
        <v>237709.049750876</v>
      </c>
      <c r="Z45" s="2">
        <f t="shared" si="124"/>
        <v>251971.59273592857</v>
      </c>
      <c r="AA45" s="2">
        <f t="shared" si="124"/>
        <v>267089.88830008428</v>
      </c>
      <c r="AB45" s="2">
        <f t="shared" si="124"/>
        <v>283115.28159808932</v>
      </c>
      <c r="AC45" s="2">
        <f t="shared" si="124"/>
        <v>300102.19849397469</v>
      </c>
      <c r="AD45" s="2">
        <f t="shared" si="124"/>
        <v>318108.33040361316</v>
      </c>
      <c r="AE45" s="2">
        <f t="shared" si="124"/>
        <v>337194.83022782998</v>
      </c>
      <c r="AF45" s="2">
        <f t="shared" si="124"/>
        <v>357426.52004149981</v>
      </c>
      <c r="AG45" s="2">
        <f t="shared" si="124"/>
        <v>378872.11124398984</v>
      </c>
      <c r="AH45" s="2">
        <f t="shared" si="124"/>
        <v>401604.43791862926</v>
      </c>
      <c r="AI45" s="2">
        <f t="shared" si="124"/>
        <v>425700.70419374702</v>
      </c>
      <c r="AJ45" s="2">
        <f t="shared" si="124"/>
        <v>451242.74644537189</v>
      </c>
      <c r="AK45" s="2">
        <f t="shared" si="124"/>
        <v>478317.31123209425</v>
      </c>
      <c r="AL45" s="2">
        <f t="shared" si="124"/>
        <v>507016.34990601992</v>
      </c>
      <c r="AM45" s="2">
        <f t="shared" si="124"/>
        <v>537437.3309003812</v>
      </c>
      <c r="AN45" s="2">
        <f t="shared" si="124"/>
        <v>569683.57075440406</v>
      </c>
      <c r="AO45" s="2">
        <f t="shared" si="124"/>
        <v>603864.5849996683</v>
      </c>
      <c r="AP45" s="2">
        <f t="shared" si="124"/>
        <v>640096.46009964845</v>
      </c>
      <c r="AQ45" s="2">
        <f t="shared" si="124"/>
        <v>678502.24770562735</v>
      </c>
      <c r="AR45" s="2">
        <f t="shared" si="124"/>
        <v>719212.38256796508</v>
      </c>
      <c r="AS45" s="2">
        <f t="shared" si="124"/>
        <v>762365.12552204297</v>
      </c>
      <c r="AT45" s="2">
        <f t="shared" si="124"/>
        <v>808107.03305336554</v>
      </c>
      <c r="AU45" s="2">
        <f t="shared" si="124"/>
        <v>856593.45503656752</v>
      </c>
      <c r="AV45" s="2">
        <f t="shared" si="124"/>
        <v>907989.06233876164</v>
      </c>
      <c r="AW45" s="2">
        <f t="shared" si="124"/>
        <v>962468.40607908741</v>
      </c>
      <c r="AX45" s="2">
        <f t="shared" si="124"/>
        <v>1020216.5104438327</v>
      </c>
      <c r="AY45" s="2">
        <f t="shared" si="124"/>
        <v>1081429.5010704626</v>
      </c>
      <c r="AZ45" s="2">
        <f t="shared" si="124"/>
        <v>1146315.2711346904</v>
      </c>
      <c r="BA45" s="2">
        <f t="shared" si="124"/>
        <v>1215094.1874027718</v>
      </c>
      <c r="BB45" s="2">
        <f t="shared" si="124"/>
        <v>1287999.8386469381</v>
      </c>
      <c r="BC45" s="2">
        <f t="shared" si="124"/>
        <v>1365279.8289657545</v>
      </c>
      <c r="BD45" s="2">
        <f t="shared" si="124"/>
        <v>1447196.6187036999</v>
      </c>
      <c r="BE45" s="2">
        <f t="shared" si="124"/>
        <v>1534028.415825922</v>
      </c>
      <c r="BF45" s="2">
        <f t="shared" si="124"/>
        <v>1626070.1207754775</v>
      </c>
      <c r="BG45" s="2">
        <f t="shared" si="124"/>
        <v>1723634.3280220062</v>
      </c>
      <c r="BH45" s="2">
        <f t="shared" si="124"/>
        <v>1827052.3877033268</v>
      </c>
      <c r="BI45" s="2">
        <f t="shared" si="124"/>
        <v>1936675.5309655264</v>
      </c>
      <c r="BJ45" s="2">
        <f t="shared" si="124"/>
        <v>2052876.0628234581</v>
      </c>
      <c r="BK45" s="2">
        <f t="shared" si="124"/>
        <v>2176048.6265928657</v>
      </c>
      <c r="BL45" s="2">
        <f t="shared" si="124"/>
        <v>2306611.5441884375</v>
      </c>
      <c r="BM45" s="2">
        <f t="shared" si="124"/>
        <v>2445008.2368397438</v>
      </c>
      <c r="BN45" s="2">
        <f t="shared" si="124"/>
        <v>2591708.7310501286</v>
      </c>
      <c r="BO45" s="2">
        <f t="shared" si="124"/>
        <v>2747211.2549131364</v>
      </c>
      <c r="BP45" s="2">
        <f t="shared" si="124"/>
        <v>2912043.9302079249</v>
      </c>
      <c r="BQ45" s="2">
        <f t="shared" si="124"/>
        <v>3086766.5660204007</v>
      </c>
      <c r="BR45" s="2">
        <f t="shared" ref="BR45" si="125">(BR43+BQ45)*(1+$B$35)</f>
        <v>3271972.5599816251</v>
      </c>
      <c r="BS45" s="2">
        <f t="shared" si="123"/>
        <v>3468290.9135805229</v>
      </c>
      <c r="BT45" s="2">
        <f t="shared" si="123"/>
        <v>3676388.3683953546</v>
      </c>
      <c r="BU45" s="2">
        <f t="shared" si="123"/>
        <v>3896971.6704990761</v>
      </c>
      <c r="BV45" s="2">
        <f t="shared" si="123"/>
        <v>4130789.9707290209</v>
      </c>
      <c r="BW45" s="2">
        <f t="shared" si="123"/>
        <v>4378637.3689727625</v>
      </c>
      <c r="BX45" s="2">
        <f t="shared" si="123"/>
        <v>4641355.6111111287</v>
      </c>
      <c r="BY45" s="2">
        <f t="shared" si="123"/>
        <v>4919836.9477777965</v>
      </c>
      <c r="BZ45" s="2">
        <f t="shared" si="123"/>
        <v>5215027.1646444649</v>
      </c>
      <c r="CA45" s="2">
        <f t="shared" si="123"/>
        <v>5527928.794523133</v>
      </c>
      <c r="CB45" s="2">
        <f t="shared" si="123"/>
        <v>5859604.5221945215</v>
      </c>
    </row>
    <row r="47" spans="1:80" x14ac:dyDescent="0.75">
      <c r="A47" s="4" t="s">
        <v>33</v>
      </c>
      <c r="B47" s="2">
        <f>B40-B42-B43</f>
        <v>0</v>
      </c>
      <c r="C47" s="2">
        <f t="shared" ref="C47:V47" si="126">C40-C42-C43</f>
        <v>0</v>
      </c>
      <c r="D47" s="2">
        <f t="shared" si="126"/>
        <v>0</v>
      </c>
      <c r="E47" s="2">
        <f t="shared" si="126"/>
        <v>1938.0689999999813</v>
      </c>
      <c r="F47" s="2">
        <f t="shared" si="126"/>
        <v>16385.573249999987</v>
      </c>
      <c r="G47" s="2">
        <f t="shared" si="126"/>
        <v>21669.475312499984</v>
      </c>
      <c r="H47" s="2">
        <f t="shared" si="126"/>
        <v>22981.560478124986</v>
      </c>
      <c r="I47" s="2">
        <f t="shared" si="126"/>
        <v>20207.562502031215</v>
      </c>
      <c r="J47" s="2">
        <f t="shared" si="126"/>
        <v>21630.524627132778</v>
      </c>
      <c r="K47" s="2">
        <f t="shared" si="126"/>
        <v>18572.19185848943</v>
      </c>
      <c r="L47" s="2">
        <f t="shared" si="126"/>
        <v>18153.174451413899</v>
      </c>
      <c r="M47" s="2">
        <f t="shared" si="126"/>
        <v>30419.870573984575</v>
      </c>
      <c r="N47" s="2">
        <f t="shared" si="126"/>
        <v>32105.696102683767</v>
      </c>
      <c r="O47" s="2">
        <f t="shared" si="126"/>
        <v>28388.273507817968</v>
      </c>
      <c r="P47" s="2">
        <f t="shared" si="126"/>
        <v>28124.255783208864</v>
      </c>
      <c r="Q47" s="2">
        <f t="shared" si="126"/>
        <v>24025.797372369299</v>
      </c>
      <c r="R47" s="2">
        <f t="shared" si="126"/>
        <v>21811.568040987797</v>
      </c>
      <c r="S47" s="2">
        <f t="shared" si="126"/>
        <v>17293.017643037179</v>
      </c>
      <c r="T47" s="2">
        <f t="shared" si="126"/>
        <v>30005.011725189033</v>
      </c>
      <c r="U47" s="2">
        <f t="shared" si="126"/>
        <v>25023.309911448479</v>
      </c>
      <c r="V47" s="2">
        <f t="shared" si="126"/>
        <v>23351.447007020935</v>
      </c>
    </row>
    <row r="49" spans="1:80" x14ac:dyDescent="0.75">
      <c r="A49" t="s">
        <v>34</v>
      </c>
      <c r="B49" s="2">
        <f>B47*(1+$B$35)</f>
        <v>0</v>
      </c>
      <c r="C49" s="2">
        <f>(C47+B49)*(1+$B$35)</f>
        <v>0</v>
      </c>
      <c r="D49" s="2">
        <f t="shared" ref="D49:BO49" si="127">(D47+C49)*(1+$B$35)</f>
        <v>0</v>
      </c>
      <c r="E49" s="2">
        <f t="shared" si="127"/>
        <v>2054.3531399999802</v>
      </c>
      <c r="F49" s="2">
        <f t="shared" si="127"/>
        <v>19546.321973399969</v>
      </c>
      <c r="G49" s="2">
        <f t="shared" si="127"/>
        <v>43688.745123053959</v>
      </c>
      <c r="H49" s="2">
        <f t="shared" si="127"/>
        <v>70670.523937249687</v>
      </c>
      <c r="I49" s="2">
        <f t="shared" si="127"/>
        <v>96330.771625637761</v>
      </c>
      <c r="J49" s="2">
        <f t="shared" si="127"/>
        <v>125038.97402793678</v>
      </c>
      <c r="K49" s="2">
        <f t="shared" si="127"/>
        <v>152227.8358396118</v>
      </c>
      <c r="L49" s="2">
        <f t="shared" si="127"/>
        <v>180603.87090848724</v>
      </c>
      <c r="M49" s="2">
        <f t="shared" si="127"/>
        <v>223685.16597142012</v>
      </c>
      <c r="N49" s="2">
        <f t="shared" si="127"/>
        <v>271138.31379855017</v>
      </c>
      <c r="O49" s="2">
        <f t="shared" si="127"/>
        <v>317498.18254475028</v>
      </c>
      <c r="P49" s="2">
        <f t="shared" si="127"/>
        <v>366359.78462763672</v>
      </c>
      <c r="Q49" s="2">
        <f t="shared" si="127"/>
        <v>413808.71692000638</v>
      </c>
      <c r="R49" s="2">
        <f t="shared" si="127"/>
        <v>461757.5020586538</v>
      </c>
      <c r="S49" s="2">
        <f t="shared" si="127"/>
        <v>507793.55088379246</v>
      </c>
      <c r="T49" s="2">
        <f t="shared" si="127"/>
        <v>570066.47636552039</v>
      </c>
      <c r="U49" s="2">
        <f t="shared" si="127"/>
        <v>630795.17345358711</v>
      </c>
      <c r="V49" s="2">
        <f t="shared" si="127"/>
        <v>693395.4176882446</v>
      </c>
      <c r="W49" s="2">
        <f t="shared" si="127"/>
        <v>734999.14274953934</v>
      </c>
      <c r="X49" s="2">
        <f t="shared" si="127"/>
        <v>779099.09131451172</v>
      </c>
      <c r="Y49" s="2">
        <f t="shared" si="127"/>
        <v>825845.03679338249</v>
      </c>
      <c r="Z49" s="2">
        <f t="shared" si="127"/>
        <v>875395.73900098552</v>
      </c>
      <c r="AA49" s="2">
        <f t="shared" si="127"/>
        <v>927919.48334104475</v>
      </c>
      <c r="AB49" s="2">
        <f t="shared" si="127"/>
        <v>983594.65234150749</v>
      </c>
      <c r="AC49" s="2">
        <f t="shared" si="127"/>
        <v>1042610.331481998</v>
      </c>
      <c r="AD49" s="2">
        <f t="shared" si="127"/>
        <v>1105166.951370918</v>
      </c>
      <c r="AE49" s="2">
        <f t="shared" si="127"/>
        <v>1171476.9684531731</v>
      </c>
      <c r="AF49" s="2">
        <f t="shared" si="127"/>
        <v>1241765.5865603634</v>
      </c>
      <c r="AG49" s="2">
        <f t="shared" si="127"/>
        <v>1316271.5217539852</v>
      </c>
      <c r="AH49" s="2">
        <f t="shared" si="127"/>
        <v>1395247.8130592243</v>
      </c>
      <c r="AI49" s="2">
        <f t="shared" si="127"/>
        <v>1478962.6818427779</v>
      </c>
      <c r="AJ49" s="2">
        <f t="shared" si="127"/>
        <v>1567700.4427533445</v>
      </c>
      <c r="AK49" s="2">
        <f t="shared" si="127"/>
        <v>1661762.4693185452</v>
      </c>
      <c r="AL49" s="2">
        <f t="shared" si="127"/>
        <v>1761468.2174776581</v>
      </c>
      <c r="AM49" s="2">
        <f t="shared" si="127"/>
        <v>1867156.3105263177</v>
      </c>
      <c r="AN49" s="2">
        <f t="shared" si="127"/>
        <v>1979185.6891578969</v>
      </c>
      <c r="AO49" s="2">
        <f t="shared" si="127"/>
        <v>2097936.8305073706</v>
      </c>
      <c r="AP49" s="2">
        <f t="shared" si="127"/>
        <v>2223813.0403378131</v>
      </c>
      <c r="AQ49" s="2">
        <f t="shared" si="127"/>
        <v>2357241.8227580818</v>
      </c>
      <c r="AR49" s="2">
        <f t="shared" si="127"/>
        <v>2498676.3321235669</v>
      </c>
      <c r="AS49" s="2">
        <f t="shared" si="127"/>
        <v>2648596.9120509811</v>
      </c>
      <c r="AT49" s="2">
        <f t="shared" si="127"/>
        <v>2807512.7267740401</v>
      </c>
      <c r="AU49" s="2">
        <f t="shared" si="127"/>
        <v>2975963.4903804827</v>
      </c>
      <c r="AV49" s="2">
        <f t="shared" si="127"/>
        <v>3154521.2998033119</v>
      </c>
      <c r="AW49" s="2">
        <f t="shared" si="127"/>
        <v>3343792.5777915106</v>
      </c>
      <c r="AX49" s="2">
        <f t="shared" si="127"/>
        <v>3544420.1324590016</v>
      </c>
      <c r="AY49" s="2">
        <f t="shared" si="127"/>
        <v>3757085.3404065417</v>
      </c>
      <c r="AZ49" s="2">
        <f t="shared" si="127"/>
        <v>3982510.4608309343</v>
      </c>
      <c r="BA49" s="2">
        <f t="shared" si="127"/>
        <v>4221461.0884807911</v>
      </c>
      <c r="BB49" s="2">
        <f t="shared" si="127"/>
        <v>4474748.7537896391</v>
      </c>
      <c r="BC49" s="2">
        <f t="shared" si="127"/>
        <v>4743233.6790170176</v>
      </c>
      <c r="BD49" s="2">
        <f t="shared" si="127"/>
        <v>5027827.6997580389</v>
      </c>
      <c r="BE49" s="2">
        <f t="shared" si="127"/>
        <v>5329497.3617435219</v>
      </c>
      <c r="BF49" s="2">
        <f t="shared" si="127"/>
        <v>5649267.2034481335</v>
      </c>
      <c r="BG49" s="2">
        <f t="shared" si="127"/>
        <v>5988223.2356550219</v>
      </c>
      <c r="BH49" s="2">
        <f t="shared" si="127"/>
        <v>6347516.6297943238</v>
      </c>
      <c r="BI49" s="2">
        <f t="shared" si="127"/>
        <v>6728367.6275819838</v>
      </c>
      <c r="BJ49" s="2">
        <f t="shared" si="127"/>
        <v>7132069.6852369029</v>
      </c>
      <c r="BK49" s="2">
        <f t="shared" si="127"/>
        <v>7559993.8663511174</v>
      </c>
      <c r="BL49" s="2">
        <f t="shared" si="127"/>
        <v>8013593.4983321847</v>
      </c>
      <c r="BM49" s="2">
        <f t="shared" si="127"/>
        <v>8494409.1082321163</v>
      </c>
      <c r="BN49" s="2">
        <f t="shared" si="127"/>
        <v>9004073.6547260433</v>
      </c>
      <c r="BO49" s="2">
        <f t="shared" si="127"/>
        <v>9544318.0740096066</v>
      </c>
      <c r="BP49" s="2">
        <f t="shared" ref="BP49:CB49" si="128">(BP47+BO49)*(1+$B$35)</f>
        <v>10116977.158450184</v>
      </c>
      <c r="BQ49" s="2">
        <f t="shared" si="128"/>
        <v>10723995.787957195</v>
      </c>
      <c r="BR49" s="2">
        <f t="shared" si="128"/>
        <v>11367435.535234628</v>
      </c>
      <c r="BS49" s="2">
        <f t="shared" si="128"/>
        <v>12049481.667348707</v>
      </c>
      <c r="BT49" s="2">
        <f t="shared" si="128"/>
        <v>12772450.56738963</v>
      </c>
      <c r="BU49" s="2">
        <f t="shared" si="128"/>
        <v>13538797.601433009</v>
      </c>
      <c r="BV49" s="2">
        <f t="shared" si="128"/>
        <v>14351125.457518991</v>
      </c>
      <c r="BW49" s="2">
        <f t="shared" si="128"/>
        <v>15212192.984970132</v>
      </c>
      <c r="BX49" s="2">
        <f t="shared" si="128"/>
        <v>16124924.56406834</v>
      </c>
      <c r="BY49" s="2">
        <f t="shared" si="128"/>
        <v>17092420.03791244</v>
      </c>
      <c r="BZ49" s="2">
        <f t="shared" si="128"/>
        <v>18117965.240187187</v>
      </c>
      <c r="CA49" s="2">
        <f t="shared" si="128"/>
        <v>19205043.154598419</v>
      </c>
      <c r="CB49" s="2">
        <f t="shared" si="128"/>
        <v>20357345.743874326</v>
      </c>
    </row>
    <row r="52" spans="1:80" x14ac:dyDescent="0.75">
      <c r="A52" t="s">
        <v>35</v>
      </c>
      <c r="B52" s="2">
        <f>B38+B44+B45+B49</f>
        <v>17133.095999999987</v>
      </c>
      <c r="C52" s="2">
        <f t="shared" ref="C52:V52" si="129">C38+C44+C45+C49</f>
        <v>34127.963519999976</v>
      </c>
      <c r="D52" s="2">
        <f t="shared" si="129"/>
        <v>70909.26765119996</v>
      </c>
      <c r="E52" s="2">
        <f t="shared" si="129"/>
        <v>117777.42325027194</v>
      </c>
      <c r="F52" s="2">
        <f t="shared" si="129"/>
        <v>183478.17349028826</v>
      </c>
      <c r="G52" s="2">
        <f t="shared" si="129"/>
        <v>258721.90493095556</v>
      </c>
      <c r="H52" s="2">
        <f t="shared" si="129"/>
        <v>340096.40533362539</v>
      </c>
      <c r="I52" s="2">
        <f t="shared" si="129"/>
        <v>423412.93790579605</v>
      </c>
      <c r="J52" s="2">
        <f t="shared" si="129"/>
        <v>513483.88828490465</v>
      </c>
      <c r="K52" s="2">
        <f t="shared" si="129"/>
        <v>605717.26295199769</v>
      </c>
      <c r="L52" s="2">
        <f t="shared" si="129"/>
        <v>703199.60884761624</v>
      </c>
      <c r="M52" s="2">
        <f t="shared" si="129"/>
        <v>820197.76818689692</v>
      </c>
      <c r="N52" s="2">
        <f t="shared" si="129"/>
        <v>946300.63094695564</v>
      </c>
      <c r="O52" s="2">
        <f t="shared" si="129"/>
        <v>1076029.19752206</v>
      </c>
      <c r="P52" s="2">
        <f t="shared" si="129"/>
        <v>1213469.0189035852</v>
      </c>
      <c r="Q52" s="2">
        <f t="shared" si="129"/>
        <v>1354810.863652512</v>
      </c>
      <c r="R52" s="2">
        <f t="shared" si="129"/>
        <v>1502405.1951951096</v>
      </c>
      <c r="S52" s="2">
        <f t="shared" si="129"/>
        <v>1654065.5232084356</v>
      </c>
      <c r="T52" s="2">
        <f t="shared" si="129"/>
        <v>1829134.7438296422</v>
      </c>
      <c r="U52" s="2">
        <f t="shared" si="129"/>
        <v>2009427.5137655563</v>
      </c>
      <c r="V52" s="2">
        <f t="shared" si="129"/>
        <v>2198968.4956189319</v>
      </c>
      <c r="W52" s="2">
        <f>(W33+W38+W44+W45+W49)*(1+$B$35)</f>
        <v>2348189.9607088435</v>
      </c>
      <c r="X52" s="2">
        <f>(X33+X38+X44+X45+X49)*(1+$B$35)</f>
        <v>2429580.8530268162</v>
      </c>
      <c r="Y52" s="2">
        <f t="shared" ref="Y52:BN52" si="130">(Y33+Y38+Y44+Y45+Y49)*(1+$B$35)</f>
        <v>2515855.1988838674</v>
      </c>
      <c r="Z52" s="2">
        <f t="shared" si="130"/>
        <v>2607306.0054923417</v>
      </c>
      <c r="AA52" s="2">
        <f t="shared" si="130"/>
        <v>2704243.8604973252</v>
      </c>
      <c r="AB52" s="2">
        <f t="shared" si="130"/>
        <v>2806997.9868026064</v>
      </c>
      <c r="AC52" s="2">
        <f t="shared" si="130"/>
        <v>2915917.3606862058</v>
      </c>
      <c r="AD52" s="2">
        <f t="shared" si="130"/>
        <v>3031371.8970028204</v>
      </c>
      <c r="AE52" s="2">
        <f t="shared" si="130"/>
        <v>3153753.7054984318</v>
      </c>
      <c r="AF52" s="2">
        <f t="shared" si="130"/>
        <v>3283478.4225037796</v>
      </c>
      <c r="AG52" s="2">
        <f t="shared" si="130"/>
        <v>3420986.6225294494</v>
      </c>
      <c r="AH52" s="2">
        <f t="shared" si="130"/>
        <v>3566745.3145566583</v>
      </c>
      <c r="AI52" s="2">
        <f t="shared" si="130"/>
        <v>3721249.5281055002</v>
      </c>
      <c r="AJ52" s="2">
        <f t="shared" si="130"/>
        <v>3885023.9944672729</v>
      </c>
      <c r="AK52" s="2">
        <f t="shared" si="130"/>
        <v>4058624.9288107515</v>
      </c>
      <c r="AL52" s="2">
        <f t="shared" si="130"/>
        <v>4242641.9192148391</v>
      </c>
      <c r="AM52" s="2">
        <f t="shared" si="130"/>
        <v>4437699.929043171</v>
      </c>
      <c r="AN52" s="2">
        <f t="shared" si="130"/>
        <v>4644461.4194612047</v>
      </c>
      <c r="AO52" s="2">
        <f t="shared" si="130"/>
        <v>4863628.5993043194</v>
      </c>
      <c r="AP52" s="2">
        <f t="shared" si="130"/>
        <v>5095945.8099380201</v>
      </c>
      <c r="AQ52" s="2">
        <f t="shared" si="130"/>
        <v>5342202.0532097444</v>
      </c>
      <c r="AR52" s="2">
        <f t="shared" si="130"/>
        <v>5603233.6710777711</v>
      </c>
      <c r="AS52" s="2">
        <f t="shared" si="130"/>
        <v>5879927.1860178802</v>
      </c>
      <c r="AT52" s="2">
        <f t="shared" si="130"/>
        <v>6173222.311854396</v>
      </c>
      <c r="AU52" s="2">
        <f t="shared" si="130"/>
        <v>6484115.1452411022</v>
      </c>
      <c r="AV52" s="2">
        <f t="shared" si="130"/>
        <v>6813661.5486310106</v>
      </c>
      <c r="AW52" s="2">
        <f t="shared" si="130"/>
        <v>7162980.7362243142</v>
      </c>
      <c r="AX52" s="2">
        <f t="shared" si="130"/>
        <v>7533259.0750732152</v>
      </c>
      <c r="AY52" s="2">
        <f t="shared" si="130"/>
        <v>7925754.1142530506</v>
      </c>
      <c r="AZ52" s="2">
        <f t="shared" si="130"/>
        <v>8341798.8557836758</v>
      </c>
      <c r="BA52" s="2">
        <f t="shared" si="130"/>
        <v>8782806.2818061393</v>
      </c>
      <c r="BB52" s="2">
        <f t="shared" si="130"/>
        <v>9250274.1533899512</v>
      </c>
      <c r="BC52" s="2">
        <f t="shared" si="130"/>
        <v>9745790.09726879</v>
      </c>
      <c r="BD52" s="2">
        <f t="shared" si="130"/>
        <v>10271036.99778036</v>
      </c>
      <c r="BE52" s="2">
        <f t="shared" si="130"/>
        <v>10827798.712322624</v>
      </c>
      <c r="BF52" s="2">
        <f t="shared" si="130"/>
        <v>11417966.129737427</v>
      </c>
      <c r="BG52" s="2">
        <f t="shared" si="130"/>
        <v>12043543.592197115</v>
      </c>
      <c r="BH52" s="2">
        <f t="shared" si="130"/>
        <v>12706655.702404385</v>
      </c>
      <c r="BI52" s="2">
        <f t="shared" si="130"/>
        <v>13409554.53922409</v>
      </c>
      <c r="BJ52" s="2">
        <f t="shared" si="130"/>
        <v>14154627.306252979</v>
      </c>
      <c r="BK52" s="2">
        <f t="shared" si="130"/>
        <v>14944404.439303601</v>
      </c>
      <c r="BL52" s="2">
        <f t="shared" si="130"/>
        <v>15781568.200337259</v>
      </c>
      <c r="BM52" s="2">
        <f t="shared" si="130"/>
        <v>16668961.787032938</v>
      </c>
      <c r="BN52" s="2">
        <f t="shared" si="130"/>
        <v>17609598.988930356</v>
      </c>
      <c r="BO52" s="2">
        <f t="shared" ref="BO52:CB52" si="131">(BO33+BO38+BO44+BO45+BO49)*(1+$B$35)</f>
        <v>18606674.422941625</v>
      </c>
      <c r="BP52" s="2">
        <f t="shared" si="131"/>
        <v>19663574.382993568</v>
      </c>
      <c r="BQ52" s="2">
        <f t="shared" si="131"/>
        <v>20783888.340648621</v>
      </c>
      <c r="BR52" s="2">
        <f t="shared" si="131"/>
        <v>21971421.135762982</v>
      </c>
      <c r="BS52" s="2">
        <f t="shared" si="131"/>
        <v>23230205.898584206</v>
      </c>
      <c r="BT52" s="2">
        <f t="shared" si="131"/>
        <v>24564517.747174703</v>
      </c>
      <c r="BU52" s="2">
        <f t="shared" si="131"/>
        <v>25978888.306680627</v>
      </c>
      <c r="BV52" s="2">
        <f t="shared" si="131"/>
        <v>27478121.099756908</v>
      </c>
      <c r="BW52" s="2">
        <f t="shared" si="131"/>
        <v>29067307.860417772</v>
      </c>
      <c r="BX52" s="2">
        <f t="shared" si="131"/>
        <v>30751845.826718278</v>
      </c>
      <c r="BY52" s="2">
        <f t="shared" si="131"/>
        <v>32537456.070996813</v>
      </c>
      <c r="BZ52" s="2">
        <f t="shared" si="131"/>
        <v>34430202.929932065</v>
      </c>
      <c r="CA52" s="2">
        <f t="shared" si="131"/>
        <v>36436514.600403436</v>
      </c>
      <c r="CB52" s="2">
        <f t="shared" si="131"/>
        <v>38563204.971103087</v>
      </c>
    </row>
    <row r="54" spans="1:80" x14ac:dyDescent="0.75">
      <c r="A54" t="s">
        <v>36</v>
      </c>
    </row>
    <row r="55" spans="1:80" x14ac:dyDescent="0.75">
      <c r="A55" t="s">
        <v>37</v>
      </c>
    </row>
    <row r="56" spans="1:80" x14ac:dyDescent="0.75">
      <c r="A56" t="s">
        <v>38</v>
      </c>
    </row>
    <row r="58" spans="1:80" x14ac:dyDescent="0.75">
      <c r="A58" t="s">
        <v>46</v>
      </c>
      <c r="B58" s="7">
        <v>23</v>
      </c>
      <c r="C58">
        <f>B58+1</f>
        <v>24</v>
      </c>
      <c r="D58">
        <f>C58+1</f>
        <v>25</v>
      </c>
      <c r="E58">
        <f t="shared" ref="E58:I58" si="132">D58+1</f>
        <v>26</v>
      </c>
      <c r="F58">
        <f t="shared" si="132"/>
        <v>27</v>
      </c>
      <c r="G58">
        <f t="shared" si="132"/>
        <v>28</v>
      </c>
      <c r="H58">
        <f t="shared" si="132"/>
        <v>29</v>
      </c>
      <c r="I58">
        <f t="shared" si="132"/>
        <v>30</v>
      </c>
      <c r="J58">
        <f>I58+1</f>
        <v>31</v>
      </c>
      <c r="K58">
        <f t="shared" ref="K58:V58" si="133">J58+1</f>
        <v>32</v>
      </c>
      <c r="L58">
        <f t="shared" si="133"/>
        <v>33</v>
      </c>
      <c r="M58">
        <f t="shared" si="133"/>
        <v>34</v>
      </c>
      <c r="N58">
        <f t="shared" si="133"/>
        <v>35</v>
      </c>
      <c r="O58">
        <f t="shared" si="133"/>
        <v>36</v>
      </c>
      <c r="P58">
        <f t="shared" si="133"/>
        <v>37</v>
      </c>
      <c r="Q58">
        <f t="shared" si="133"/>
        <v>38</v>
      </c>
      <c r="R58">
        <f t="shared" si="133"/>
        <v>39</v>
      </c>
      <c r="S58">
        <f t="shared" si="133"/>
        <v>40</v>
      </c>
      <c r="T58">
        <f t="shared" si="133"/>
        <v>41</v>
      </c>
      <c r="U58">
        <f t="shared" si="133"/>
        <v>42</v>
      </c>
      <c r="V58">
        <f t="shared" si="133"/>
        <v>43</v>
      </c>
      <c r="W58">
        <f t="shared" ref="W58:BN58" si="134">V58+1</f>
        <v>44</v>
      </c>
      <c r="X58">
        <f t="shared" si="134"/>
        <v>45</v>
      </c>
      <c r="Y58">
        <f t="shared" si="134"/>
        <v>46</v>
      </c>
      <c r="Z58">
        <f t="shared" si="134"/>
        <v>47</v>
      </c>
      <c r="AA58">
        <f t="shared" si="134"/>
        <v>48</v>
      </c>
      <c r="AB58">
        <f t="shared" si="134"/>
        <v>49</v>
      </c>
      <c r="AC58">
        <f t="shared" si="134"/>
        <v>50</v>
      </c>
      <c r="AD58">
        <f t="shared" si="134"/>
        <v>51</v>
      </c>
      <c r="AE58">
        <f t="shared" si="134"/>
        <v>52</v>
      </c>
      <c r="AF58">
        <f t="shared" si="134"/>
        <v>53</v>
      </c>
      <c r="AG58">
        <f t="shared" si="134"/>
        <v>54</v>
      </c>
      <c r="AH58">
        <f t="shared" si="134"/>
        <v>55</v>
      </c>
      <c r="AI58">
        <f t="shared" si="134"/>
        <v>56</v>
      </c>
      <c r="AJ58">
        <f t="shared" si="134"/>
        <v>57</v>
      </c>
      <c r="AK58">
        <f t="shared" si="134"/>
        <v>58</v>
      </c>
      <c r="AL58">
        <f t="shared" si="134"/>
        <v>59</v>
      </c>
      <c r="AM58">
        <f t="shared" si="134"/>
        <v>60</v>
      </c>
      <c r="AN58">
        <f t="shared" si="134"/>
        <v>61</v>
      </c>
      <c r="AO58">
        <f t="shared" si="134"/>
        <v>62</v>
      </c>
      <c r="AP58">
        <f t="shared" si="134"/>
        <v>63</v>
      </c>
      <c r="AQ58">
        <f t="shared" si="134"/>
        <v>64</v>
      </c>
      <c r="AR58">
        <f t="shared" si="134"/>
        <v>65</v>
      </c>
      <c r="AS58">
        <f t="shared" si="134"/>
        <v>66</v>
      </c>
      <c r="AT58">
        <f t="shared" si="134"/>
        <v>67</v>
      </c>
      <c r="AU58">
        <f t="shared" si="134"/>
        <v>68</v>
      </c>
      <c r="AV58">
        <f t="shared" si="134"/>
        <v>69</v>
      </c>
      <c r="AW58">
        <f t="shared" si="134"/>
        <v>70</v>
      </c>
      <c r="AX58">
        <f t="shared" si="134"/>
        <v>71</v>
      </c>
      <c r="AY58">
        <f t="shared" si="134"/>
        <v>72</v>
      </c>
      <c r="AZ58">
        <f t="shared" si="134"/>
        <v>73</v>
      </c>
      <c r="BA58">
        <f t="shared" si="134"/>
        <v>74</v>
      </c>
      <c r="BB58">
        <f t="shared" si="134"/>
        <v>75</v>
      </c>
      <c r="BC58">
        <f t="shared" si="134"/>
        <v>76</v>
      </c>
      <c r="BD58">
        <f t="shared" si="134"/>
        <v>77</v>
      </c>
      <c r="BE58">
        <f t="shared" si="134"/>
        <v>78</v>
      </c>
      <c r="BF58">
        <f t="shared" si="134"/>
        <v>79</v>
      </c>
      <c r="BG58">
        <f t="shared" si="134"/>
        <v>80</v>
      </c>
      <c r="BH58">
        <f t="shared" si="134"/>
        <v>81</v>
      </c>
      <c r="BI58">
        <f t="shared" si="134"/>
        <v>82</v>
      </c>
      <c r="BJ58">
        <f t="shared" si="134"/>
        <v>83</v>
      </c>
      <c r="BK58">
        <f t="shared" si="134"/>
        <v>84</v>
      </c>
      <c r="BL58">
        <f t="shared" si="134"/>
        <v>85</v>
      </c>
      <c r="BM58">
        <f t="shared" si="134"/>
        <v>86</v>
      </c>
      <c r="BN58">
        <f t="shared" si="134"/>
        <v>87</v>
      </c>
      <c r="BO58">
        <f t="shared" ref="BO58:CB58" si="135">BN58+1</f>
        <v>88</v>
      </c>
      <c r="BP58">
        <f t="shared" si="135"/>
        <v>89</v>
      </c>
      <c r="BQ58">
        <f t="shared" si="135"/>
        <v>90</v>
      </c>
      <c r="BR58">
        <f t="shared" si="135"/>
        <v>91</v>
      </c>
      <c r="BS58">
        <f t="shared" si="135"/>
        <v>92</v>
      </c>
      <c r="BT58">
        <f t="shared" si="135"/>
        <v>93</v>
      </c>
      <c r="BU58">
        <f t="shared" si="135"/>
        <v>94</v>
      </c>
      <c r="BV58">
        <f t="shared" si="135"/>
        <v>95</v>
      </c>
      <c r="BW58">
        <f t="shared" si="135"/>
        <v>96</v>
      </c>
      <c r="BX58">
        <f t="shared" si="135"/>
        <v>97</v>
      </c>
      <c r="BY58">
        <f t="shared" si="135"/>
        <v>98</v>
      </c>
      <c r="BZ58">
        <f t="shared" si="135"/>
        <v>99</v>
      </c>
      <c r="CA58">
        <f t="shared" si="135"/>
        <v>100</v>
      </c>
      <c r="CB58">
        <f t="shared" si="135"/>
        <v>101</v>
      </c>
    </row>
    <row r="59" spans="1:80" x14ac:dyDescent="0.75">
      <c r="A59" t="s">
        <v>39</v>
      </c>
      <c r="E59">
        <v>0</v>
      </c>
      <c r="F59">
        <f>E59+1</f>
        <v>1</v>
      </c>
      <c r="G59">
        <f t="shared" ref="G59:J59" si="136">F59+1</f>
        <v>2</v>
      </c>
      <c r="H59">
        <f t="shared" si="136"/>
        <v>3</v>
      </c>
      <c r="I59">
        <f t="shared" si="136"/>
        <v>4</v>
      </c>
      <c r="J59">
        <f t="shared" si="136"/>
        <v>5</v>
      </c>
      <c r="K59">
        <f t="shared" ref="K59:V59" si="137">J59+1</f>
        <v>6</v>
      </c>
      <c r="L59">
        <f t="shared" si="137"/>
        <v>7</v>
      </c>
      <c r="M59">
        <f t="shared" si="137"/>
        <v>8</v>
      </c>
      <c r="N59">
        <f t="shared" si="137"/>
        <v>9</v>
      </c>
      <c r="O59">
        <f t="shared" si="137"/>
        <v>10</v>
      </c>
      <c r="P59">
        <f t="shared" si="137"/>
        <v>11</v>
      </c>
      <c r="Q59">
        <f t="shared" si="137"/>
        <v>12</v>
      </c>
      <c r="R59">
        <f t="shared" si="137"/>
        <v>13</v>
      </c>
      <c r="S59">
        <f t="shared" si="137"/>
        <v>14</v>
      </c>
      <c r="T59">
        <f t="shared" si="137"/>
        <v>15</v>
      </c>
      <c r="U59">
        <f t="shared" si="137"/>
        <v>16</v>
      </c>
      <c r="V59">
        <f t="shared" si="137"/>
        <v>17</v>
      </c>
      <c r="W59">
        <f t="shared" ref="W59:BN59" si="138">V59+1</f>
        <v>18</v>
      </c>
      <c r="X59">
        <f t="shared" si="138"/>
        <v>19</v>
      </c>
      <c r="Y59">
        <f t="shared" si="138"/>
        <v>20</v>
      </c>
      <c r="Z59">
        <f t="shared" si="138"/>
        <v>21</v>
      </c>
      <c r="AA59">
        <f t="shared" si="138"/>
        <v>22</v>
      </c>
      <c r="AB59">
        <f t="shared" si="138"/>
        <v>23</v>
      </c>
      <c r="AC59">
        <f t="shared" si="138"/>
        <v>24</v>
      </c>
      <c r="AD59">
        <f t="shared" si="138"/>
        <v>25</v>
      </c>
      <c r="AE59">
        <f t="shared" si="138"/>
        <v>26</v>
      </c>
      <c r="AF59">
        <f t="shared" si="138"/>
        <v>27</v>
      </c>
      <c r="AG59">
        <f t="shared" si="138"/>
        <v>28</v>
      </c>
      <c r="AH59">
        <f t="shared" si="138"/>
        <v>29</v>
      </c>
      <c r="AI59">
        <f t="shared" si="138"/>
        <v>30</v>
      </c>
      <c r="AJ59">
        <f t="shared" si="138"/>
        <v>31</v>
      </c>
      <c r="AK59">
        <f t="shared" si="138"/>
        <v>32</v>
      </c>
      <c r="AL59">
        <f t="shared" si="138"/>
        <v>33</v>
      </c>
      <c r="AM59">
        <f t="shared" si="138"/>
        <v>34</v>
      </c>
      <c r="AN59">
        <f t="shared" si="138"/>
        <v>35</v>
      </c>
      <c r="AO59">
        <f t="shared" si="138"/>
        <v>36</v>
      </c>
      <c r="AP59">
        <f t="shared" si="138"/>
        <v>37</v>
      </c>
      <c r="AQ59">
        <f t="shared" si="138"/>
        <v>38</v>
      </c>
      <c r="AR59">
        <f t="shared" si="138"/>
        <v>39</v>
      </c>
      <c r="AS59">
        <f t="shared" si="138"/>
        <v>40</v>
      </c>
      <c r="AT59">
        <f t="shared" si="138"/>
        <v>41</v>
      </c>
      <c r="AU59">
        <f t="shared" si="138"/>
        <v>42</v>
      </c>
      <c r="AV59">
        <f t="shared" si="138"/>
        <v>43</v>
      </c>
      <c r="AW59">
        <f t="shared" si="138"/>
        <v>44</v>
      </c>
      <c r="AX59">
        <f t="shared" si="138"/>
        <v>45</v>
      </c>
      <c r="AY59">
        <f t="shared" si="138"/>
        <v>46</v>
      </c>
      <c r="AZ59">
        <f t="shared" si="138"/>
        <v>47</v>
      </c>
      <c r="BA59">
        <f t="shared" si="138"/>
        <v>48</v>
      </c>
      <c r="BB59">
        <f t="shared" si="138"/>
        <v>49</v>
      </c>
      <c r="BC59">
        <f t="shared" si="138"/>
        <v>50</v>
      </c>
      <c r="BD59">
        <f t="shared" si="138"/>
        <v>51</v>
      </c>
      <c r="BE59">
        <f t="shared" si="138"/>
        <v>52</v>
      </c>
      <c r="BF59">
        <f t="shared" si="138"/>
        <v>53</v>
      </c>
      <c r="BG59">
        <f t="shared" si="138"/>
        <v>54</v>
      </c>
      <c r="BH59">
        <f t="shared" si="138"/>
        <v>55</v>
      </c>
      <c r="BI59">
        <f t="shared" si="138"/>
        <v>56</v>
      </c>
      <c r="BJ59">
        <f t="shared" si="138"/>
        <v>57</v>
      </c>
      <c r="BK59">
        <f t="shared" si="138"/>
        <v>58</v>
      </c>
      <c r="BL59">
        <f t="shared" si="138"/>
        <v>59</v>
      </c>
      <c r="BM59">
        <f t="shared" si="138"/>
        <v>60</v>
      </c>
      <c r="BN59">
        <f t="shared" si="138"/>
        <v>61</v>
      </c>
      <c r="BO59">
        <f t="shared" ref="BO59:CB59" si="139">BN59+1</f>
        <v>62</v>
      </c>
      <c r="BP59">
        <f t="shared" si="139"/>
        <v>63</v>
      </c>
      <c r="BQ59">
        <f t="shared" si="139"/>
        <v>64</v>
      </c>
      <c r="BR59">
        <f t="shared" si="139"/>
        <v>65</v>
      </c>
      <c r="BS59">
        <f t="shared" si="139"/>
        <v>66</v>
      </c>
      <c r="BT59">
        <f t="shared" si="139"/>
        <v>67</v>
      </c>
      <c r="BU59">
        <f t="shared" si="139"/>
        <v>68</v>
      </c>
      <c r="BV59">
        <f t="shared" si="139"/>
        <v>69</v>
      </c>
      <c r="BW59">
        <f t="shared" si="139"/>
        <v>70</v>
      </c>
      <c r="BX59">
        <f t="shared" si="139"/>
        <v>71</v>
      </c>
      <c r="BY59">
        <f t="shared" si="139"/>
        <v>72</v>
      </c>
      <c r="BZ59">
        <f t="shared" si="139"/>
        <v>73</v>
      </c>
      <c r="CA59">
        <f t="shared" si="139"/>
        <v>74</v>
      </c>
      <c r="CB59">
        <f t="shared" si="139"/>
        <v>75</v>
      </c>
    </row>
    <row r="60" spans="1:80" x14ac:dyDescent="0.75">
      <c r="A60" t="s">
        <v>40</v>
      </c>
      <c r="G60">
        <v>0</v>
      </c>
      <c r="H60">
        <f>G60+1</f>
        <v>1</v>
      </c>
      <c r="I60">
        <f>H60+1</f>
        <v>2</v>
      </c>
      <c r="J60">
        <f t="shared" ref="J60:V65" si="140">I60+1</f>
        <v>3</v>
      </c>
      <c r="K60">
        <f t="shared" si="140"/>
        <v>4</v>
      </c>
      <c r="L60">
        <f t="shared" si="140"/>
        <v>5</v>
      </c>
      <c r="M60">
        <f t="shared" si="140"/>
        <v>6</v>
      </c>
      <c r="N60">
        <f t="shared" si="140"/>
        <v>7</v>
      </c>
      <c r="O60">
        <f t="shared" si="140"/>
        <v>8</v>
      </c>
      <c r="P60">
        <f t="shared" si="140"/>
        <v>9</v>
      </c>
      <c r="Q60">
        <f t="shared" si="140"/>
        <v>10</v>
      </c>
      <c r="R60">
        <f t="shared" si="140"/>
        <v>11</v>
      </c>
      <c r="S60">
        <f t="shared" si="140"/>
        <v>12</v>
      </c>
      <c r="T60">
        <f t="shared" si="140"/>
        <v>13</v>
      </c>
      <c r="U60">
        <f t="shared" si="140"/>
        <v>14</v>
      </c>
      <c r="V60">
        <f t="shared" si="140"/>
        <v>15</v>
      </c>
      <c r="W60">
        <f t="shared" ref="W60:BN60" si="141">V60+1</f>
        <v>16</v>
      </c>
      <c r="X60">
        <f t="shared" si="141"/>
        <v>17</v>
      </c>
      <c r="Y60">
        <f t="shared" si="141"/>
        <v>18</v>
      </c>
      <c r="Z60">
        <f t="shared" si="141"/>
        <v>19</v>
      </c>
      <c r="AA60">
        <f t="shared" si="141"/>
        <v>20</v>
      </c>
      <c r="AB60">
        <f t="shared" si="141"/>
        <v>21</v>
      </c>
      <c r="AC60">
        <f t="shared" si="141"/>
        <v>22</v>
      </c>
      <c r="AD60">
        <f t="shared" si="141"/>
        <v>23</v>
      </c>
      <c r="AE60">
        <f t="shared" si="141"/>
        <v>24</v>
      </c>
      <c r="AF60">
        <f t="shared" si="141"/>
        <v>25</v>
      </c>
      <c r="AG60">
        <f t="shared" si="141"/>
        <v>26</v>
      </c>
      <c r="AH60">
        <f t="shared" si="141"/>
        <v>27</v>
      </c>
      <c r="AI60">
        <f t="shared" si="141"/>
        <v>28</v>
      </c>
      <c r="AJ60">
        <f t="shared" si="141"/>
        <v>29</v>
      </c>
      <c r="AK60">
        <f t="shared" si="141"/>
        <v>30</v>
      </c>
      <c r="AL60">
        <f t="shared" si="141"/>
        <v>31</v>
      </c>
      <c r="AM60">
        <f t="shared" si="141"/>
        <v>32</v>
      </c>
      <c r="AN60">
        <f t="shared" si="141"/>
        <v>33</v>
      </c>
      <c r="AO60">
        <f t="shared" si="141"/>
        <v>34</v>
      </c>
      <c r="AP60">
        <f t="shared" si="141"/>
        <v>35</v>
      </c>
      <c r="AQ60">
        <f t="shared" si="141"/>
        <v>36</v>
      </c>
      <c r="AR60">
        <f t="shared" si="141"/>
        <v>37</v>
      </c>
      <c r="AS60">
        <f t="shared" si="141"/>
        <v>38</v>
      </c>
      <c r="AT60">
        <f t="shared" si="141"/>
        <v>39</v>
      </c>
      <c r="AU60">
        <f t="shared" si="141"/>
        <v>40</v>
      </c>
      <c r="AV60">
        <f t="shared" si="141"/>
        <v>41</v>
      </c>
      <c r="AW60">
        <f t="shared" si="141"/>
        <v>42</v>
      </c>
      <c r="AX60">
        <f t="shared" si="141"/>
        <v>43</v>
      </c>
      <c r="AY60">
        <f t="shared" si="141"/>
        <v>44</v>
      </c>
      <c r="AZ60">
        <f t="shared" si="141"/>
        <v>45</v>
      </c>
      <c r="BA60">
        <f t="shared" si="141"/>
        <v>46</v>
      </c>
      <c r="BB60">
        <f t="shared" si="141"/>
        <v>47</v>
      </c>
      <c r="BC60">
        <f t="shared" si="141"/>
        <v>48</v>
      </c>
      <c r="BD60">
        <f t="shared" si="141"/>
        <v>49</v>
      </c>
      <c r="BE60">
        <f t="shared" si="141"/>
        <v>50</v>
      </c>
      <c r="BF60">
        <f t="shared" si="141"/>
        <v>51</v>
      </c>
      <c r="BG60">
        <f t="shared" si="141"/>
        <v>52</v>
      </c>
      <c r="BH60">
        <f t="shared" si="141"/>
        <v>53</v>
      </c>
      <c r="BI60">
        <f t="shared" si="141"/>
        <v>54</v>
      </c>
      <c r="BJ60">
        <f t="shared" si="141"/>
        <v>55</v>
      </c>
      <c r="BK60">
        <f t="shared" si="141"/>
        <v>56</v>
      </c>
      <c r="BL60">
        <f t="shared" si="141"/>
        <v>57</v>
      </c>
      <c r="BM60">
        <f t="shared" si="141"/>
        <v>58</v>
      </c>
      <c r="BN60">
        <f t="shared" si="141"/>
        <v>59</v>
      </c>
      <c r="BO60">
        <f t="shared" ref="BO60:CB60" si="142">BN60+1</f>
        <v>60</v>
      </c>
      <c r="BP60">
        <f t="shared" si="142"/>
        <v>61</v>
      </c>
      <c r="BQ60">
        <f t="shared" si="142"/>
        <v>62</v>
      </c>
      <c r="BR60">
        <f t="shared" si="142"/>
        <v>63</v>
      </c>
      <c r="BS60">
        <f t="shared" si="142"/>
        <v>64</v>
      </c>
      <c r="BT60">
        <f t="shared" si="142"/>
        <v>65</v>
      </c>
      <c r="BU60">
        <f t="shared" si="142"/>
        <v>66</v>
      </c>
      <c r="BV60">
        <f t="shared" si="142"/>
        <v>67</v>
      </c>
      <c r="BW60">
        <f t="shared" si="142"/>
        <v>68</v>
      </c>
      <c r="BX60">
        <f t="shared" si="142"/>
        <v>69</v>
      </c>
      <c r="BY60">
        <f t="shared" si="142"/>
        <v>70</v>
      </c>
      <c r="BZ60">
        <f t="shared" si="142"/>
        <v>71</v>
      </c>
      <c r="CA60">
        <f t="shared" si="142"/>
        <v>72</v>
      </c>
      <c r="CB60">
        <f t="shared" si="142"/>
        <v>73</v>
      </c>
    </row>
    <row r="61" spans="1:80" x14ac:dyDescent="0.75">
      <c r="A61" t="s">
        <v>41</v>
      </c>
      <c r="I61">
        <v>0</v>
      </c>
      <c r="J61">
        <f t="shared" si="140"/>
        <v>1</v>
      </c>
      <c r="K61">
        <f t="shared" si="140"/>
        <v>2</v>
      </c>
      <c r="L61">
        <f t="shared" si="140"/>
        <v>3</v>
      </c>
      <c r="M61">
        <f t="shared" si="140"/>
        <v>4</v>
      </c>
      <c r="N61">
        <f t="shared" si="140"/>
        <v>5</v>
      </c>
      <c r="O61">
        <f t="shared" si="140"/>
        <v>6</v>
      </c>
      <c r="P61">
        <f t="shared" si="140"/>
        <v>7</v>
      </c>
      <c r="Q61">
        <f t="shared" si="140"/>
        <v>8</v>
      </c>
      <c r="R61">
        <f t="shared" si="140"/>
        <v>9</v>
      </c>
      <c r="S61">
        <f t="shared" si="140"/>
        <v>10</v>
      </c>
      <c r="T61">
        <f t="shared" si="140"/>
        <v>11</v>
      </c>
      <c r="U61">
        <f t="shared" si="140"/>
        <v>12</v>
      </c>
      <c r="V61">
        <f t="shared" si="140"/>
        <v>13</v>
      </c>
      <c r="W61">
        <f t="shared" ref="W61:BN61" si="143">V61+1</f>
        <v>14</v>
      </c>
      <c r="X61">
        <f t="shared" si="143"/>
        <v>15</v>
      </c>
      <c r="Y61">
        <f t="shared" si="143"/>
        <v>16</v>
      </c>
      <c r="Z61">
        <f t="shared" si="143"/>
        <v>17</v>
      </c>
      <c r="AA61">
        <f t="shared" si="143"/>
        <v>18</v>
      </c>
      <c r="AB61">
        <f t="shared" si="143"/>
        <v>19</v>
      </c>
      <c r="AC61">
        <f t="shared" si="143"/>
        <v>20</v>
      </c>
      <c r="AD61">
        <f t="shared" si="143"/>
        <v>21</v>
      </c>
      <c r="AE61">
        <f t="shared" si="143"/>
        <v>22</v>
      </c>
      <c r="AF61">
        <f t="shared" si="143"/>
        <v>23</v>
      </c>
      <c r="AG61">
        <f t="shared" si="143"/>
        <v>24</v>
      </c>
      <c r="AH61">
        <f t="shared" si="143"/>
        <v>25</v>
      </c>
      <c r="AI61">
        <f t="shared" si="143"/>
        <v>26</v>
      </c>
      <c r="AJ61">
        <f t="shared" si="143"/>
        <v>27</v>
      </c>
      <c r="AK61">
        <f t="shared" si="143"/>
        <v>28</v>
      </c>
      <c r="AL61">
        <f t="shared" si="143"/>
        <v>29</v>
      </c>
      <c r="AM61">
        <f t="shared" si="143"/>
        <v>30</v>
      </c>
      <c r="AN61">
        <f t="shared" si="143"/>
        <v>31</v>
      </c>
      <c r="AO61">
        <f t="shared" si="143"/>
        <v>32</v>
      </c>
      <c r="AP61">
        <f t="shared" si="143"/>
        <v>33</v>
      </c>
      <c r="AQ61">
        <f t="shared" si="143"/>
        <v>34</v>
      </c>
      <c r="AR61">
        <f t="shared" si="143"/>
        <v>35</v>
      </c>
      <c r="AS61">
        <f t="shared" si="143"/>
        <v>36</v>
      </c>
      <c r="AT61">
        <f t="shared" si="143"/>
        <v>37</v>
      </c>
      <c r="AU61">
        <f t="shared" si="143"/>
        <v>38</v>
      </c>
      <c r="AV61">
        <f t="shared" si="143"/>
        <v>39</v>
      </c>
      <c r="AW61">
        <f t="shared" si="143"/>
        <v>40</v>
      </c>
      <c r="AX61">
        <f t="shared" si="143"/>
        <v>41</v>
      </c>
      <c r="AY61">
        <f t="shared" si="143"/>
        <v>42</v>
      </c>
      <c r="AZ61">
        <f t="shared" si="143"/>
        <v>43</v>
      </c>
      <c r="BA61">
        <f t="shared" si="143"/>
        <v>44</v>
      </c>
      <c r="BB61">
        <f t="shared" si="143"/>
        <v>45</v>
      </c>
      <c r="BC61">
        <f t="shared" si="143"/>
        <v>46</v>
      </c>
      <c r="BD61">
        <f t="shared" si="143"/>
        <v>47</v>
      </c>
      <c r="BE61">
        <f t="shared" si="143"/>
        <v>48</v>
      </c>
      <c r="BF61">
        <f t="shared" si="143"/>
        <v>49</v>
      </c>
      <c r="BG61">
        <f t="shared" si="143"/>
        <v>50</v>
      </c>
      <c r="BH61">
        <f t="shared" si="143"/>
        <v>51</v>
      </c>
      <c r="BI61">
        <f t="shared" si="143"/>
        <v>52</v>
      </c>
      <c r="BJ61">
        <f t="shared" si="143"/>
        <v>53</v>
      </c>
      <c r="BK61">
        <f t="shared" si="143"/>
        <v>54</v>
      </c>
      <c r="BL61">
        <f t="shared" si="143"/>
        <v>55</v>
      </c>
      <c r="BM61">
        <f t="shared" si="143"/>
        <v>56</v>
      </c>
      <c r="BN61">
        <f t="shared" si="143"/>
        <v>57</v>
      </c>
      <c r="BO61">
        <f t="shared" ref="BO61:CB61" si="144">BN61+1</f>
        <v>58</v>
      </c>
      <c r="BP61">
        <f t="shared" si="144"/>
        <v>59</v>
      </c>
      <c r="BQ61">
        <f t="shared" si="144"/>
        <v>60</v>
      </c>
      <c r="BR61">
        <f t="shared" si="144"/>
        <v>61</v>
      </c>
      <c r="BS61">
        <f t="shared" si="144"/>
        <v>62</v>
      </c>
      <c r="BT61">
        <f t="shared" si="144"/>
        <v>63</v>
      </c>
      <c r="BU61">
        <f t="shared" si="144"/>
        <v>64</v>
      </c>
      <c r="BV61">
        <f t="shared" si="144"/>
        <v>65</v>
      </c>
      <c r="BW61">
        <f t="shared" si="144"/>
        <v>66</v>
      </c>
      <c r="BX61">
        <f t="shared" si="144"/>
        <v>67</v>
      </c>
      <c r="BY61">
        <f t="shared" si="144"/>
        <v>68</v>
      </c>
      <c r="BZ61">
        <f t="shared" si="144"/>
        <v>69</v>
      </c>
      <c r="CA61">
        <f t="shared" si="144"/>
        <v>70</v>
      </c>
      <c r="CB61">
        <f t="shared" si="144"/>
        <v>71</v>
      </c>
    </row>
    <row r="62" spans="1:80" x14ac:dyDescent="0.75">
      <c r="A62" t="s">
        <v>42</v>
      </c>
      <c r="B62" s="7">
        <f>B58+25</f>
        <v>48</v>
      </c>
      <c r="C62">
        <f>B62+1</f>
        <v>49</v>
      </c>
      <c r="D62">
        <f t="shared" ref="D62:I62" si="145">C62+1</f>
        <v>50</v>
      </c>
      <c r="E62">
        <f t="shared" si="145"/>
        <v>51</v>
      </c>
      <c r="F62">
        <f t="shared" si="145"/>
        <v>52</v>
      </c>
      <c r="G62">
        <f t="shared" si="145"/>
        <v>53</v>
      </c>
      <c r="H62">
        <f t="shared" si="145"/>
        <v>54</v>
      </c>
      <c r="I62">
        <f t="shared" si="145"/>
        <v>55</v>
      </c>
      <c r="J62">
        <f t="shared" si="140"/>
        <v>56</v>
      </c>
      <c r="K62">
        <f t="shared" si="140"/>
        <v>57</v>
      </c>
      <c r="L62">
        <f t="shared" si="140"/>
        <v>58</v>
      </c>
      <c r="M62">
        <f t="shared" si="140"/>
        <v>59</v>
      </c>
      <c r="N62">
        <f t="shared" si="140"/>
        <v>60</v>
      </c>
      <c r="O62">
        <f t="shared" si="140"/>
        <v>61</v>
      </c>
      <c r="P62">
        <f t="shared" si="140"/>
        <v>62</v>
      </c>
      <c r="Q62">
        <f t="shared" si="140"/>
        <v>63</v>
      </c>
      <c r="R62">
        <f t="shared" si="140"/>
        <v>64</v>
      </c>
      <c r="S62">
        <f t="shared" si="140"/>
        <v>65</v>
      </c>
      <c r="T62">
        <f t="shared" si="140"/>
        <v>66</v>
      </c>
      <c r="U62">
        <f t="shared" si="140"/>
        <v>67</v>
      </c>
      <c r="V62">
        <f t="shared" si="140"/>
        <v>68</v>
      </c>
      <c r="W62">
        <f t="shared" ref="W62:BN62" si="146">V62+1</f>
        <v>69</v>
      </c>
      <c r="X62">
        <f t="shared" si="146"/>
        <v>70</v>
      </c>
      <c r="Y62">
        <f t="shared" si="146"/>
        <v>71</v>
      </c>
      <c r="Z62">
        <f t="shared" si="146"/>
        <v>72</v>
      </c>
      <c r="AA62">
        <f t="shared" si="146"/>
        <v>73</v>
      </c>
      <c r="AB62">
        <f t="shared" si="146"/>
        <v>74</v>
      </c>
      <c r="AC62">
        <f t="shared" si="146"/>
        <v>75</v>
      </c>
      <c r="AD62">
        <f t="shared" si="146"/>
        <v>76</v>
      </c>
      <c r="AE62">
        <f t="shared" si="146"/>
        <v>77</v>
      </c>
      <c r="AF62">
        <f t="shared" si="146"/>
        <v>78</v>
      </c>
      <c r="AG62">
        <f t="shared" si="146"/>
        <v>79</v>
      </c>
      <c r="AH62">
        <f t="shared" si="146"/>
        <v>80</v>
      </c>
      <c r="AI62">
        <f t="shared" si="146"/>
        <v>81</v>
      </c>
      <c r="AJ62">
        <f t="shared" si="146"/>
        <v>82</v>
      </c>
      <c r="AK62">
        <f t="shared" si="146"/>
        <v>83</v>
      </c>
      <c r="AL62">
        <f t="shared" si="146"/>
        <v>84</v>
      </c>
      <c r="AM62">
        <f t="shared" si="146"/>
        <v>85</v>
      </c>
      <c r="AN62">
        <f t="shared" si="146"/>
        <v>86</v>
      </c>
      <c r="AO62">
        <f t="shared" si="146"/>
        <v>87</v>
      </c>
      <c r="AP62">
        <f t="shared" si="146"/>
        <v>88</v>
      </c>
      <c r="AQ62">
        <f t="shared" si="146"/>
        <v>89</v>
      </c>
      <c r="AR62">
        <f t="shared" si="146"/>
        <v>90</v>
      </c>
      <c r="AS62">
        <f t="shared" si="146"/>
        <v>91</v>
      </c>
      <c r="AT62">
        <f t="shared" si="146"/>
        <v>92</v>
      </c>
      <c r="AU62">
        <f t="shared" si="146"/>
        <v>93</v>
      </c>
      <c r="AV62">
        <f t="shared" si="146"/>
        <v>94</v>
      </c>
      <c r="AW62">
        <f t="shared" si="146"/>
        <v>95</v>
      </c>
      <c r="AX62">
        <f t="shared" si="146"/>
        <v>96</v>
      </c>
      <c r="AY62">
        <f t="shared" si="146"/>
        <v>97</v>
      </c>
      <c r="AZ62">
        <f t="shared" si="146"/>
        <v>98</v>
      </c>
      <c r="BA62">
        <f t="shared" si="146"/>
        <v>99</v>
      </c>
      <c r="BB62">
        <f t="shared" si="146"/>
        <v>100</v>
      </c>
      <c r="BC62">
        <f t="shared" si="146"/>
        <v>101</v>
      </c>
      <c r="BD62">
        <f t="shared" si="146"/>
        <v>102</v>
      </c>
      <c r="BE62">
        <f t="shared" si="146"/>
        <v>103</v>
      </c>
      <c r="BF62">
        <f t="shared" si="146"/>
        <v>104</v>
      </c>
      <c r="BG62">
        <f t="shared" si="146"/>
        <v>105</v>
      </c>
      <c r="BH62">
        <f t="shared" si="146"/>
        <v>106</v>
      </c>
      <c r="BI62">
        <f t="shared" si="146"/>
        <v>107</v>
      </c>
      <c r="BJ62">
        <f t="shared" si="146"/>
        <v>108</v>
      </c>
      <c r="BK62">
        <f t="shared" si="146"/>
        <v>109</v>
      </c>
      <c r="BL62">
        <f t="shared" si="146"/>
        <v>110</v>
      </c>
      <c r="BM62">
        <f t="shared" si="146"/>
        <v>111</v>
      </c>
      <c r="BN62">
        <f t="shared" si="146"/>
        <v>112</v>
      </c>
      <c r="BO62">
        <f t="shared" ref="BO62:CB62" si="147">BN62+1</f>
        <v>113</v>
      </c>
      <c r="BP62">
        <f t="shared" si="147"/>
        <v>114</v>
      </c>
      <c r="BQ62">
        <f t="shared" si="147"/>
        <v>115</v>
      </c>
      <c r="BR62">
        <f t="shared" si="147"/>
        <v>116</v>
      </c>
      <c r="BS62">
        <f t="shared" si="147"/>
        <v>117</v>
      </c>
      <c r="BT62">
        <f t="shared" si="147"/>
        <v>118</v>
      </c>
      <c r="BU62">
        <f t="shared" si="147"/>
        <v>119</v>
      </c>
      <c r="BV62">
        <f t="shared" si="147"/>
        <v>120</v>
      </c>
      <c r="BW62">
        <f t="shared" si="147"/>
        <v>121</v>
      </c>
      <c r="BX62">
        <f t="shared" si="147"/>
        <v>122</v>
      </c>
      <c r="BY62">
        <f t="shared" si="147"/>
        <v>123</v>
      </c>
      <c r="BZ62">
        <f t="shared" si="147"/>
        <v>124</v>
      </c>
      <c r="CA62">
        <f t="shared" si="147"/>
        <v>125</v>
      </c>
      <c r="CB62">
        <f t="shared" si="147"/>
        <v>126</v>
      </c>
    </row>
    <row r="63" spans="1:80" x14ac:dyDescent="0.75">
      <c r="A63" t="s">
        <v>43</v>
      </c>
      <c r="B63" s="7">
        <f>B58+24</f>
        <v>47</v>
      </c>
      <c r="C63">
        <f t="shared" ref="C63:I65" si="148">B63+1</f>
        <v>48</v>
      </c>
      <c r="D63">
        <f t="shared" si="148"/>
        <v>49</v>
      </c>
      <c r="E63">
        <f t="shared" si="148"/>
        <v>50</v>
      </c>
      <c r="F63">
        <f t="shared" si="148"/>
        <v>51</v>
      </c>
      <c r="G63">
        <f t="shared" si="148"/>
        <v>52</v>
      </c>
      <c r="H63">
        <f t="shared" si="148"/>
        <v>53</v>
      </c>
      <c r="I63">
        <f t="shared" si="148"/>
        <v>54</v>
      </c>
      <c r="J63">
        <f t="shared" si="140"/>
        <v>55</v>
      </c>
      <c r="K63">
        <f t="shared" si="140"/>
        <v>56</v>
      </c>
      <c r="L63">
        <f t="shared" si="140"/>
        <v>57</v>
      </c>
      <c r="M63">
        <f t="shared" si="140"/>
        <v>58</v>
      </c>
      <c r="N63">
        <f t="shared" si="140"/>
        <v>59</v>
      </c>
      <c r="O63">
        <f t="shared" si="140"/>
        <v>60</v>
      </c>
      <c r="P63">
        <f t="shared" si="140"/>
        <v>61</v>
      </c>
      <c r="Q63">
        <f t="shared" si="140"/>
        <v>62</v>
      </c>
      <c r="R63">
        <f t="shared" si="140"/>
        <v>63</v>
      </c>
      <c r="S63">
        <f t="shared" si="140"/>
        <v>64</v>
      </c>
      <c r="T63">
        <f t="shared" si="140"/>
        <v>65</v>
      </c>
      <c r="U63">
        <f t="shared" si="140"/>
        <v>66</v>
      </c>
      <c r="V63">
        <f t="shared" si="140"/>
        <v>67</v>
      </c>
      <c r="W63">
        <f t="shared" ref="W63:BN63" si="149">V63+1</f>
        <v>68</v>
      </c>
      <c r="X63">
        <f t="shared" si="149"/>
        <v>69</v>
      </c>
      <c r="Y63">
        <f t="shared" si="149"/>
        <v>70</v>
      </c>
      <c r="Z63">
        <f t="shared" si="149"/>
        <v>71</v>
      </c>
      <c r="AA63">
        <f t="shared" si="149"/>
        <v>72</v>
      </c>
      <c r="AB63">
        <f t="shared" si="149"/>
        <v>73</v>
      </c>
      <c r="AC63">
        <f t="shared" si="149"/>
        <v>74</v>
      </c>
      <c r="AD63">
        <f t="shared" si="149"/>
        <v>75</v>
      </c>
      <c r="AE63">
        <f t="shared" si="149"/>
        <v>76</v>
      </c>
      <c r="AF63">
        <f t="shared" si="149"/>
        <v>77</v>
      </c>
      <c r="AG63">
        <f t="shared" si="149"/>
        <v>78</v>
      </c>
      <c r="AH63">
        <f t="shared" si="149"/>
        <v>79</v>
      </c>
      <c r="AI63">
        <f t="shared" si="149"/>
        <v>80</v>
      </c>
      <c r="AJ63">
        <f t="shared" si="149"/>
        <v>81</v>
      </c>
      <c r="AK63">
        <f t="shared" si="149"/>
        <v>82</v>
      </c>
      <c r="AL63">
        <f t="shared" si="149"/>
        <v>83</v>
      </c>
      <c r="AM63">
        <f t="shared" si="149"/>
        <v>84</v>
      </c>
      <c r="AN63">
        <f t="shared" si="149"/>
        <v>85</v>
      </c>
      <c r="AO63">
        <f t="shared" si="149"/>
        <v>86</v>
      </c>
      <c r="AP63">
        <f t="shared" si="149"/>
        <v>87</v>
      </c>
      <c r="AQ63">
        <f t="shared" si="149"/>
        <v>88</v>
      </c>
      <c r="AR63">
        <f t="shared" si="149"/>
        <v>89</v>
      </c>
      <c r="AS63">
        <f t="shared" si="149"/>
        <v>90</v>
      </c>
      <c r="AT63">
        <f t="shared" si="149"/>
        <v>91</v>
      </c>
      <c r="AU63">
        <f t="shared" si="149"/>
        <v>92</v>
      </c>
      <c r="AV63">
        <f t="shared" si="149"/>
        <v>93</v>
      </c>
      <c r="AW63">
        <f t="shared" si="149"/>
        <v>94</v>
      </c>
      <c r="AX63">
        <f t="shared" si="149"/>
        <v>95</v>
      </c>
      <c r="AY63">
        <f t="shared" si="149"/>
        <v>96</v>
      </c>
      <c r="AZ63">
        <f t="shared" si="149"/>
        <v>97</v>
      </c>
      <c r="BA63">
        <f t="shared" si="149"/>
        <v>98</v>
      </c>
      <c r="BB63">
        <f t="shared" si="149"/>
        <v>99</v>
      </c>
      <c r="BC63">
        <f t="shared" si="149"/>
        <v>100</v>
      </c>
      <c r="BD63">
        <f t="shared" si="149"/>
        <v>101</v>
      </c>
      <c r="BE63">
        <f t="shared" si="149"/>
        <v>102</v>
      </c>
      <c r="BF63">
        <f t="shared" si="149"/>
        <v>103</v>
      </c>
      <c r="BG63">
        <f t="shared" si="149"/>
        <v>104</v>
      </c>
      <c r="BH63">
        <f t="shared" si="149"/>
        <v>105</v>
      </c>
      <c r="BI63">
        <f t="shared" si="149"/>
        <v>106</v>
      </c>
      <c r="BJ63">
        <f t="shared" si="149"/>
        <v>107</v>
      </c>
      <c r="BK63">
        <f t="shared" si="149"/>
        <v>108</v>
      </c>
      <c r="BL63">
        <f t="shared" si="149"/>
        <v>109</v>
      </c>
      <c r="BM63">
        <f t="shared" si="149"/>
        <v>110</v>
      </c>
      <c r="BN63">
        <f t="shared" si="149"/>
        <v>111</v>
      </c>
      <c r="BO63">
        <f t="shared" ref="BO63:CB63" si="150">BN63+1</f>
        <v>112</v>
      </c>
      <c r="BP63">
        <f t="shared" si="150"/>
        <v>113</v>
      </c>
      <c r="BQ63">
        <f t="shared" si="150"/>
        <v>114</v>
      </c>
      <c r="BR63">
        <f t="shared" si="150"/>
        <v>115</v>
      </c>
      <c r="BS63">
        <f t="shared" si="150"/>
        <v>116</v>
      </c>
      <c r="BT63">
        <f t="shared" si="150"/>
        <v>117</v>
      </c>
      <c r="BU63">
        <f t="shared" si="150"/>
        <v>118</v>
      </c>
      <c r="BV63">
        <f t="shared" si="150"/>
        <v>119</v>
      </c>
      <c r="BW63">
        <f t="shared" si="150"/>
        <v>120</v>
      </c>
      <c r="BX63">
        <f t="shared" si="150"/>
        <v>121</v>
      </c>
      <c r="BY63">
        <f t="shared" si="150"/>
        <v>122</v>
      </c>
      <c r="BZ63">
        <f t="shared" si="150"/>
        <v>123</v>
      </c>
      <c r="CA63">
        <f t="shared" si="150"/>
        <v>124</v>
      </c>
      <c r="CB63">
        <f t="shared" si="150"/>
        <v>125</v>
      </c>
    </row>
    <row r="64" spans="1:80" x14ac:dyDescent="0.75">
      <c r="A64" t="s">
        <v>44</v>
      </c>
      <c r="B64" s="7">
        <f>B58+25</f>
        <v>48</v>
      </c>
      <c r="C64">
        <f t="shared" si="148"/>
        <v>49</v>
      </c>
      <c r="D64">
        <f t="shared" si="148"/>
        <v>50</v>
      </c>
      <c r="E64">
        <f t="shared" si="148"/>
        <v>51</v>
      </c>
      <c r="F64">
        <f t="shared" si="148"/>
        <v>52</v>
      </c>
      <c r="G64">
        <f t="shared" si="148"/>
        <v>53</v>
      </c>
      <c r="H64">
        <f t="shared" si="148"/>
        <v>54</v>
      </c>
      <c r="I64">
        <f t="shared" si="148"/>
        <v>55</v>
      </c>
      <c r="J64">
        <f t="shared" si="140"/>
        <v>56</v>
      </c>
      <c r="K64">
        <f t="shared" si="140"/>
        <v>57</v>
      </c>
      <c r="L64">
        <f t="shared" si="140"/>
        <v>58</v>
      </c>
      <c r="M64">
        <f t="shared" si="140"/>
        <v>59</v>
      </c>
      <c r="N64">
        <f t="shared" si="140"/>
        <v>60</v>
      </c>
      <c r="O64">
        <f t="shared" si="140"/>
        <v>61</v>
      </c>
      <c r="P64">
        <f t="shared" si="140"/>
        <v>62</v>
      </c>
      <c r="Q64">
        <f t="shared" si="140"/>
        <v>63</v>
      </c>
      <c r="R64">
        <f t="shared" si="140"/>
        <v>64</v>
      </c>
      <c r="S64">
        <f t="shared" si="140"/>
        <v>65</v>
      </c>
      <c r="T64">
        <f t="shared" si="140"/>
        <v>66</v>
      </c>
      <c r="U64">
        <f t="shared" si="140"/>
        <v>67</v>
      </c>
      <c r="V64">
        <f t="shared" si="140"/>
        <v>68</v>
      </c>
      <c r="W64">
        <f t="shared" ref="W64:BN64" si="151">V64+1</f>
        <v>69</v>
      </c>
      <c r="X64">
        <f t="shared" si="151"/>
        <v>70</v>
      </c>
      <c r="Y64">
        <f t="shared" si="151"/>
        <v>71</v>
      </c>
      <c r="Z64">
        <f t="shared" si="151"/>
        <v>72</v>
      </c>
      <c r="AA64">
        <f t="shared" si="151"/>
        <v>73</v>
      </c>
      <c r="AB64">
        <f t="shared" si="151"/>
        <v>74</v>
      </c>
      <c r="AC64">
        <f t="shared" si="151"/>
        <v>75</v>
      </c>
      <c r="AD64">
        <f t="shared" si="151"/>
        <v>76</v>
      </c>
      <c r="AE64">
        <f t="shared" si="151"/>
        <v>77</v>
      </c>
      <c r="AF64">
        <f t="shared" si="151"/>
        <v>78</v>
      </c>
      <c r="AG64">
        <f t="shared" si="151"/>
        <v>79</v>
      </c>
      <c r="AH64">
        <f t="shared" si="151"/>
        <v>80</v>
      </c>
      <c r="AI64">
        <f t="shared" si="151"/>
        <v>81</v>
      </c>
      <c r="AJ64">
        <f t="shared" si="151"/>
        <v>82</v>
      </c>
      <c r="AK64">
        <f t="shared" si="151"/>
        <v>83</v>
      </c>
      <c r="AL64">
        <f t="shared" si="151"/>
        <v>84</v>
      </c>
      <c r="AM64">
        <f t="shared" si="151"/>
        <v>85</v>
      </c>
      <c r="AN64">
        <f t="shared" si="151"/>
        <v>86</v>
      </c>
      <c r="AO64">
        <f t="shared" si="151"/>
        <v>87</v>
      </c>
      <c r="AP64">
        <f t="shared" si="151"/>
        <v>88</v>
      </c>
      <c r="AQ64">
        <f t="shared" si="151"/>
        <v>89</v>
      </c>
      <c r="AR64">
        <f t="shared" si="151"/>
        <v>90</v>
      </c>
      <c r="AS64">
        <f t="shared" si="151"/>
        <v>91</v>
      </c>
      <c r="AT64">
        <f t="shared" si="151"/>
        <v>92</v>
      </c>
      <c r="AU64">
        <f t="shared" si="151"/>
        <v>93</v>
      </c>
      <c r="AV64">
        <f t="shared" si="151"/>
        <v>94</v>
      </c>
      <c r="AW64">
        <f t="shared" si="151"/>
        <v>95</v>
      </c>
      <c r="AX64">
        <f t="shared" si="151"/>
        <v>96</v>
      </c>
      <c r="AY64">
        <f t="shared" si="151"/>
        <v>97</v>
      </c>
      <c r="AZ64">
        <f t="shared" si="151"/>
        <v>98</v>
      </c>
      <c r="BA64">
        <f t="shared" si="151"/>
        <v>99</v>
      </c>
      <c r="BB64">
        <f t="shared" si="151"/>
        <v>100</v>
      </c>
      <c r="BC64">
        <f t="shared" si="151"/>
        <v>101</v>
      </c>
      <c r="BD64">
        <f t="shared" si="151"/>
        <v>102</v>
      </c>
      <c r="BE64">
        <f t="shared" si="151"/>
        <v>103</v>
      </c>
      <c r="BF64">
        <f t="shared" si="151"/>
        <v>104</v>
      </c>
      <c r="BG64">
        <f t="shared" si="151"/>
        <v>105</v>
      </c>
      <c r="BH64">
        <f t="shared" si="151"/>
        <v>106</v>
      </c>
      <c r="BI64">
        <f t="shared" si="151"/>
        <v>107</v>
      </c>
      <c r="BJ64">
        <f t="shared" si="151"/>
        <v>108</v>
      </c>
      <c r="BK64">
        <f t="shared" si="151"/>
        <v>109</v>
      </c>
      <c r="BL64">
        <f t="shared" si="151"/>
        <v>110</v>
      </c>
      <c r="BM64">
        <f t="shared" si="151"/>
        <v>111</v>
      </c>
      <c r="BN64">
        <f t="shared" si="151"/>
        <v>112</v>
      </c>
      <c r="BO64">
        <f t="shared" ref="BO64:CB64" si="152">BN64+1</f>
        <v>113</v>
      </c>
      <c r="BP64">
        <f t="shared" si="152"/>
        <v>114</v>
      </c>
      <c r="BQ64">
        <f t="shared" si="152"/>
        <v>115</v>
      </c>
      <c r="BR64">
        <f t="shared" si="152"/>
        <v>116</v>
      </c>
      <c r="BS64">
        <f t="shared" si="152"/>
        <v>117</v>
      </c>
      <c r="BT64">
        <f t="shared" si="152"/>
        <v>118</v>
      </c>
      <c r="BU64">
        <f t="shared" si="152"/>
        <v>119</v>
      </c>
      <c r="BV64">
        <f t="shared" si="152"/>
        <v>120</v>
      </c>
      <c r="BW64">
        <f t="shared" si="152"/>
        <v>121</v>
      </c>
      <c r="BX64">
        <f t="shared" si="152"/>
        <v>122</v>
      </c>
      <c r="BY64">
        <f t="shared" si="152"/>
        <v>123</v>
      </c>
      <c r="BZ64">
        <f t="shared" si="152"/>
        <v>124</v>
      </c>
      <c r="CA64">
        <f t="shared" si="152"/>
        <v>125</v>
      </c>
      <c r="CB64">
        <f t="shared" si="152"/>
        <v>126</v>
      </c>
    </row>
    <row r="65" spans="1:80" x14ac:dyDescent="0.75">
      <c r="A65" t="s">
        <v>45</v>
      </c>
      <c r="B65" s="7">
        <f>B58+27</f>
        <v>50</v>
      </c>
      <c r="C65">
        <f t="shared" si="148"/>
        <v>51</v>
      </c>
      <c r="D65">
        <f t="shared" si="148"/>
        <v>52</v>
      </c>
      <c r="E65">
        <f t="shared" si="148"/>
        <v>53</v>
      </c>
      <c r="F65">
        <f t="shared" si="148"/>
        <v>54</v>
      </c>
      <c r="G65">
        <f t="shared" si="148"/>
        <v>55</v>
      </c>
      <c r="H65">
        <f t="shared" si="148"/>
        <v>56</v>
      </c>
      <c r="I65">
        <f t="shared" si="148"/>
        <v>57</v>
      </c>
      <c r="J65">
        <f t="shared" si="140"/>
        <v>58</v>
      </c>
      <c r="K65">
        <f t="shared" si="140"/>
        <v>59</v>
      </c>
      <c r="L65">
        <f t="shared" si="140"/>
        <v>60</v>
      </c>
      <c r="M65">
        <f t="shared" si="140"/>
        <v>61</v>
      </c>
      <c r="N65">
        <f t="shared" si="140"/>
        <v>62</v>
      </c>
      <c r="O65">
        <f t="shared" si="140"/>
        <v>63</v>
      </c>
      <c r="P65">
        <f t="shared" si="140"/>
        <v>64</v>
      </c>
      <c r="Q65">
        <f t="shared" si="140"/>
        <v>65</v>
      </c>
      <c r="R65">
        <f t="shared" si="140"/>
        <v>66</v>
      </c>
      <c r="S65">
        <f t="shared" si="140"/>
        <v>67</v>
      </c>
      <c r="T65">
        <f t="shared" si="140"/>
        <v>68</v>
      </c>
      <c r="U65">
        <f t="shared" si="140"/>
        <v>69</v>
      </c>
      <c r="V65">
        <f t="shared" si="140"/>
        <v>70</v>
      </c>
      <c r="W65">
        <f t="shared" ref="W65:BN65" si="153">V65+1</f>
        <v>71</v>
      </c>
      <c r="X65">
        <f t="shared" si="153"/>
        <v>72</v>
      </c>
      <c r="Y65">
        <f t="shared" si="153"/>
        <v>73</v>
      </c>
      <c r="Z65">
        <f t="shared" si="153"/>
        <v>74</v>
      </c>
      <c r="AA65">
        <f t="shared" si="153"/>
        <v>75</v>
      </c>
      <c r="AB65">
        <f t="shared" si="153"/>
        <v>76</v>
      </c>
      <c r="AC65">
        <f t="shared" si="153"/>
        <v>77</v>
      </c>
      <c r="AD65">
        <f t="shared" si="153"/>
        <v>78</v>
      </c>
      <c r="AE65">
        <f t="shared" si="153"/>
        <v>79</v>
      </c>
      <c r="AF65">
        <f t="shared" si="153"/>
        <v>80</v>
      </c>
      <c r="AG65">
        <f t="shared" si="153"/>
        <v>81</v>
      </c>
      <c r="AH65">
        <f t="shared" si="153"/>
        <v>82</v>
      </c>
      <c r="AI65">
        <f t="shared" si="153"/>
        <v>83</v>
      </c>
      <c r="AJ65">
        <f t="shared" si="153"/>
        <v>84</v>
      </c>
      <c r="AK65">
        <f t="shared" si="153"/>
        <v>85</v>
      </c>
      <c r="AL65">
        <f t="shared" si="153"/>
        <v>86</v>
      </c>
      <c r="AM65">
        <f t="shared" si="153"/>
        <v>87</v>
      </c>
      <c r="AN65">
        <f t="shared" si="153"/>
        <v>88</v>
      </c>
      <c r="AO65">
        <f t="shared" si="153"/>
        <v>89</v>
      </c>
      <c r="AP65">
        <f t="shared" si="153"/>
        <v>90</v>
      </c>
      <c r="AQ65">
        <f t="shared" si="153"/>
        <v>91</v>
      </c>
      <c r="AR65">
        <f t="shared" si="153"/>
        <v>92</v>
      </c>
      <c r="AS65">
        <f t="shared" si="153"/>
        <v>93</v>
      </c>
      <c r="AT65">
        <f t="shared" si="153"/>
        <v>94</v>
      </c>
      <c r="AU65">
        <f t="shared" si="153"/>
        <v>95</v>
      </c>
      <c r="AV65">
        <f t="shared" si="153"/>
        <v>96</v>
      </c>
      <c r="AW65">
        <f t="shared" si="153"/>
        <v>97</v>
      </c>
      <c r="AX65">
        <f t="shared" si="153"/>
        <v>98</v>
      </c>
      <c r="AY65">
        <f t="shared" si="153"/>
        <v>99</v>
      </c>
      <c r="AZ65">
        <f t="shared" si="153"/>
        <v>100</v>
      </c>
      <c r="BA65">
        <f t="shared" si="153"/>
        <v>101</v>
      </c>
      <c r="BB65">
        <f t="shared" si="153"/>
        <v>102</v>
      </c>
      <c r="BC65">
        <f t="shared" si="153"/>
        <v>103</v>
      </c>
      <c r="BD65">
        <f t="shared" si="153"/>
        <v>104</v>
      </c>
      <c r="BE65">
        <f t="shared" si="153"/>
        <v>105</v>
      </c>
      <c r="BF65">
        <f t="shared" si="153"/>
        <v>106</v>
      </c>
      <c r="BG65">
        <f t="shared" si="153"/>
        <v>107</v>
      </c>
      <c r="BH65">
        <f t="shared" si="153"/>
        <v>108</v>
      </c>
      <c r="BI65">
        <f t="shared" si="153"/>
        <v>109</v>
      </c>
      <c r="BJ65">
        <f t="shared" si="153"/>
        <v>110</v>
      </c>
      <c r="BK65">
        <f t="shared" si="153"/>
        <v>111</v>
      </c>
      <c r="BL65">
        <f t="shared" si="153"/>
        <v>112</v>
      </c>
      <c r="BM65">
        <f t="shared" si="153"/>
        <v>113</v>
      </c>
      <c r="BN65">
        <f t="shared" si="153"/>
        <v>114</v>
      </c>
      <c r="BO65">
        <f t="shared" ref="BO65:CB65" si="154">BN65+1</f>
        <v>115</v>
      </c>
      <c r="BP65">
        <f t="shared" si="154"/>
        <v>116</v>
      </c>
      <c r="BQ65">
        <f t="shared" si="154"/>
        <v>117</v>
      </c>
      <c r="BR65">
        <f t="shared" si="154"/>
        <v>118</v>
      </c>
      <c r="BS65">
        <f t="shared" si="154"/>
        <v>119</v>
      </c>
      <c r="BT65">
        <f t="shared" si="154"/>
        <v>120</v>
      </c>
      <c r="BU65">
        <f t="shared" si="154"/>
        <v>121</v>
      </c>
      <c r="BV65">
        <f t="shared" si="154"/>
        <v>122</v>
      </c>
      <c r="BW65">
        <f t="shared" si="154"/>
        <v>123</v>
      </c>
      <c r="BX65">
        <f t="shared" si="154"/>
        <v>124</v>
      </c>
      <c r="BY65">
        <f t="shared" si="154"/>
        <v>125</v>
      </c>
      <c r="BZ65">
        <f t="shared" si="154"/>
        <v>126</v>
      </c>
      <c r="CA65">
        <f t="shared" si="154"/>
        <v>127</v>
      </c>
      <c r="CB65">
        <f t="shared" si="154"/>
        <v>128</v>
      </c>
    </row>
    <row r="67" spans="1:80" x14ac:dyDescent="0.75">
      <c r="A67" t="s">
        <v>47</v>
      </c>
      <c r="B67" s="7">
        <v>12000</v>
      </c>
    </row>
    <row r="68" spans="1:80" x14ac:dyDescent="0.75">
      <c r="A68" t="s">
        <v>48</v>
      </c>
      <c r="B68">
        <v>36000</v>
      </c>
      <c r="C68">
        <f>B68+$B$67</f>
        <v>48000</v>
      </c>
      <c r="D68">
        <f t="shared" ref="D68:V68" si="155">C68+$B$67</f>
        <v>60000</v>
      </c>
      <c r="E68">
        <f t="shared" si="155"/>
        <v>72000</v>
      </c>
      <c r="F68">
        <f t="shared" si="155"/>
        <v>84000</v>
      </c>
      <c r="G68">
        <f t="shared" si="155"/>
        <v>96000</v>
      </c>
      <c r="H68">
        <f t="shared" si="155"/>
        <v>108000</v>
      </c>
      <c r="I68">
        <f t="shared" si="155"/>
        <v>120000</v>
      </c>
      <c r="J68">
        <f t="shared" si="155"/>
        <v>132000</v>
      </c>
      <c r="K68">
        <f t="shared" si="155"/>
        <v>144000</v>
      </c>
      <c r="L68">
        <f t="shared" si="155"/>
        <v>156000</v>
      </c>
      <c r="M68">
        <f t="shared" si="155"/>
        <v>168000</v>
      </c>
      <c r="N68">
        <f t="shared" si="155"/>
        <v>180000</v>
      </c>
      <c r="O68">
        <f t="shared" si="155"/>
        <v>192000</v>
      </c>
      <c r="P68">
        <f t="shared" si="155"/>
        <v>204000</v>
      </c>
      <c r="Q68">
        <f t="shared" si="155"/>
        <v>216000</v>
      </c>
      <c r="R68">
        <f t="shared" si="155"/>
        <v>228000</v>
      </c>
      <c r="S68">
        <f t="shared" si="155"/>
        <v>240000</v>
      </c>
      <c r="T68">
        <f t="shared" si="155"/>
        <v>252000</v>
      </c>
      <c r="U68">
        <f t="shared" si="155"/>
        <v>264000</v>
      </c>
      <c r="V68">
        <f t="shared" si="155"/>
        <v>276000</v>
      </c>
    </row>
    <row r="69" spans="1:80" x14ac:dyDescent="0.75">
      <c r="A69" t="s">
        <v>49</v>
      </c>
      <c r="B69">
        <v>58000</v>
      </c>
      <c r="C69">
        <f>B69+$B$67</f>
        <v>70000</v>
      </c>
      <c r="D69">
        <f t="shared" ref="D69:V69" si="156">C69+$B$67</f>
        <v>82000</v>
      </c>
      <c r="E69">
        <f t="shared" si="156"/>
        <v>94000</v>
      </c>
      <c r="F69">
        <f t="shared" si="156"/>
        <v>106000</v>
      </c>
      <c r="G69">
        <f t="shared" si="156"/>
        <v>118000</v>
      </c>
      <c r="H69">
        <f t="shared" si="156"/>
        <v>130000</v>
      </c>
      <c r="I69">
        <f t="shared" si="156"/>
        <v>142000</v>
      </c>
      <c r="J69">
        <f t="shared" si="156"/>
        <v>154000</v>
      </c>
      <c r="K69">
        <f t="shared" si="156"/>
        <v>166000</v>
      </c>
      <c r="L69">
        <f t="shared" si="156"/>
        <v>178000</v>
      </c>
      <c r="M69">
        <f t="shared" si="156"/>
        <v>190000</v>
      </c>
      <c r="N69">
        <f t="shared" si="156"/>
        <v>202000</v>
      </c>
      <c r="O69">
        <f t="shared" si="156"/>
        <v>214000</v>
      </c>
      <c r="P69">
        <f t="shared" si="156"/>
        <v>226000</v>
      </c>
      <c r="Q69">
        <f t="shared" si="156"/>
        <v>238000</v>
      </c>
      <c r="R69">
        <f t="shared" si="156"/>
        <v>250000</v>
      </c>
      <c r="S69">
        <f t="shared" si="156"/>
        <v>262000</v>
      </c>
      <c r="T69">
        <f t="shared" si="156"/>
        <v>274000</v>
      </c>
      <c r="U69">
        <f t="shared" si="156"/>
        <v>286000</v>
      </c>
      <c r="V69">
        <f t="shared" si="156"/>
        <v>298000</v>
      </c>
    </row>
    <row r="71" spans="1:80" x14ac:dyDescent="0.75">
      <c r="A71" t="s">
        <v>50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D1E6-059E-4FC7-8EAD-F06EC2BD7198}">
  <dimension ref="A1"/>
  <sheetViews>
    <sheetView topLeftCell="A5" zoomScale="128" workbookViewId="0"/>
  </sheetViews>
  <sheetFormatPr defaultRowHeight="14.75" x14ac:dyDescent="0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105-8BA6-42EA-9D48-C34DE0E5E478}">
  <dimension ref="A1:O31"/>
  <sheetViews>
    <sheetView topLeftCell="A9" workbookViewId="0">
      <selection activeCell="G6" sqref="G6"/>
    </sheetView>
  </sheetViews>
  <sheetFormatPr defaultRowHeight="14.75" x14ac:dyDescent="0.75"/>
  <cols>
    <col min="1" max="1" width="35.6796875" bestFit="1" customWidth="1"/>
    <col min="2" max="2" width="47.86328125" customWidth="1"/>
    <col min="3" max="3" width="19.453125" bestFit="1" customWidth="1"/>
    <col min="4" max="5" width="19.453125" customWidth="1"/>
    <col min="6" max="6" width="15.54296875" bestFit="1" customWidth="1"/>
    <col min="7" max="8" width="12" bestFit="1" customWidth="1"/>
  </cols>
  <sheetData>
    <row r="1" spans="1:9" ht="15.5" thickBot="1" x14ac:dyDescent="0.9">
      <c r="A1" s="65"/>
      <c r="B1" s="64"/>
      <c r="C1" s="63" t="s">
        <v>99</v>
      </c>
      <c r="D1" s="63" t="s">
        <v>98</v>
      </c>
      <c r="E1" s="62"/>
      <c r="F1" s="67" t="s">
        <v>97</v>
      </c>
      <c r="G1" s="68"/>
      <c r="H1" s="69"/>
    </row>
    <row r="2" spans="1:9" ht="15.5" thickBot="1" x14ac:dyDescent="0.9">
      <c r="A2" s="58" t="s">
        <v>96</v>
      </c>
      <c r="B2" s="61"/>
      <c r="C2" s="60">
        <v>2500</v>
      </c>
      <c r="D2" s="59">
        <f>C2*12</f>
        <v>30000</v>
      </c>
      <c r="E2" s="22"/>
      <c r="F2" s="50"/>
      <c r="G2" s="13" t="s">
        <v>95</v>
      </c>
      <c r="H2" s="49" t="s">
        <v>94</v>
      </c>
    </row>
    <row r="3" spans="1:9" x14ac:dyDescent="0.75">
      <c r="A3" s="32" t="s">
        <v>93</v>
      </c>
      <c r="B3" s="31"/>
      <c r="C3" s="47">
        <f>H3</f>
        <v>1798.6515754582765</v>
      </c>
      <c r="D3" s="23">
        <f>C3*12</f>
        <v>21583.81890549932</v>
      </c>
      <c r="E3" s="22"/>
      <c r="F3" s="58" t="s">
        <v>93</v>
      </c>
      <c r="G3" s="57">
        <f>H3*12</f>
        <v>21583.81890549932</v>
      </c>
      <c r="H3" s="56">
        <f>H4*((H5*((1+H5)^H6))/(((1+H5)^H6)-1))</f>
        <v>1798.6515754582765</v>
      </c>
    </row>
    <row r="4" spans="1:9" x14ac:dyDescent="0.75">
      <c r="A4" s="34" t="s">
        <v>92</v>
      </c>
      <c r="B4" s="55" t="s">
        <v>100</v>
      </c>
      <c r="C4" s="47">
        <f>C3*0.175</f>
        <v>314.76402570519838</v>
      </c>
      <c r="D4" s="23">
        <f>C4*12</f>
        <v>3777.1683084623805</v>
      </c>
      <c r="E4" s="22"/>
      <c r="F4" s="32" t="s">
        <v>91</v>
      </c>
      <c r="G4" s="54">
        <v>300000</v>
      </c>
      <c r="H4" s="53">
        <f>G4</f>
        <v>300000</v>
      </c>
    </row>
    <row r="5" spans="1:9" x14ac:dyDescent="0.75">
      <c r="A5" s="34" t="s">
        <v>90</v>
      </c>
      <c r="B5" s="35" t="s">
        <v>101</v>
      </c>
      <c r="C5" s="47">
        <f>C3*0.05</f>
        <v>89.932578772913828</v>
      </c>
      <c r="D5" s="23">
        <f>C5*12</f>
        <v>1079.190945274966</v>
      </c>
      <c r="E5" s="22"/>
      <c r="F5" s="32" t="s">
        <v>89</v>
      </c>
      <c r="G5" s="54">
        <v>6</v>
      </c>
      <c r="H5" s="53">
        <f>(G5/100)/12</f>
        <v>5.0000000000000001E-3</v>
      </c>
    </row>
    <row r="6" spans="1:9" ht="15.5" thickBot="1" x14ac:dyDescent="0.9">
      <c r="A6" s="34" t="s">
        <v>88</v>
      </c>
      <c r="B6" s="31"/>
      <c r="C6" s="48" t="s">
        <v>72</v>
      </c>
      <c r="D6" s="48" t="s">
        <v>72</v>
      </c>
      <c r="E6" s="22"/>
      <c r="F6" s="26" t="s">
        <v>87</v>
      </c>
      <c r="G6" s="52">
        <v>30</v>
      </c>
      <c r="H6" s="51">
        <f>G6*12</f>
        <v>360</v>
      </c>
    </row>
    <row r="7" spans="1:9" ht="15.5" thickBot="1" x14ac:dyDescent="0.9">
      <c r="A7" s="34" t="s">
        <v>86</v>
      </c>
      <c r="B7" s="35" t="s">
        <v>102</v>
      </c>
      <c r="C7" s="47">
        <f>C3*0.096</f>
        <v>172.67055124399454</v>
      </c>
      <c r="D7" s="23">
        <f>C7*12</f>
        <v>2072.0466149279346</v>
      </c>
      <c r="E7" s="22"/>
      <c r="F7" s="50" t="s">
        <v>103</v>
      </c>
      <c r="G7" s="13">
        <f>H7*12</f>
        <v>10000</v>
      </c>
      <c r="H7" s="49">
        <f>G4/(30*12)</f>
        <v>833.33333333333337</v>
      </c>
      <c r="I7" t="s">
        <v>104</v>
      </c>
    </row>
    <row r="8" spans="1:9" x14ac:dyDescent="0.75">
      <c r="A8" s="34" t="s">
        <v>85</v>
      </c>
      <c r="B8" s="35" t="s">
        <v>84</v>
      </c>
      <c r="C8" s="47">
        <f>C3*0.1</f>
        <v>179.86515754582766</v>
      </c>
      <c r="D8" s="23">
        <f>C8*12</f>
        <v>2158.381890549932</v>
      </c>
      <c r="E8" s="22"/>
    </row>
    <row r="9" spans="1:9" x14ac:dyDescent="0.75">
      <c r="A9" s="34" t="s">
        <v>83</v>
      </c>
      <c r="B9" s="35" t="s">
        <v>82</v>
      </c>
      <c r="C9" s="47">
        <f>C3*0.1</f>
        <v>179.86515754582766</v>
      </c>
      <c r="D9" s="23">
        <f>C9*12</f>
        <v>2158.381890549932</v>
      </c>
      <c r="E9" s="22"/>
    </row>
    <row r="10" spans="1:9" x14ac:dyDescent="0.75">
      <c r="A10" s="34" t="s">
        <v>81</v>
      </c>
      <c r="B10" s="31"/>
      <c r="C10" s="48" t="s">
        <v>76</v>
      </c>
      <c r="D10" s="48" t="s">
        <v>76</v>
      </c>
      <c r="E10" s="22"/>
    </row>
    <row r="11" spans="1:9" x14ac:dyDescent="0.75">
      <c r="A11" s="34" t="s">
        <v>80</v>
      </c>
      <c r="B11" s="31"/>
      <c r="C11" s="48" t="s">
        <v>76</v>
      </c>
      <c r="D11" s="48" t="s">
        <v>76</v>
      </c>
      <c r="E11" s="22"/>
    </row>
    <row r="12" spans="1:9" x14ac:dyDescent="0.75">
      <c r="A12" s="34" t="s">
        <v>79</v>
      </c>
      <c r="B12" s="31"/>
      <c r="C12" s="48" t="s">
        <v>76</v>
      </c>
      <c r="D12" s="48" t="s">
        <v>76</v>
      </c>
      <c r="E12" s="22"/>
    </row>
    <row r="13" spans="1:9" x14ac:dyDescent="0.75">
      <c r="A13" s="34" t="s">
        <v>78</v>
      </c>
      <c r="B13" s="31"/>
      <c r="C13" s="48" t="s">
        <v>76</v>
      </c>
      <c r="D13" s="48" t="s">
        <v>76</v>
      </c>
      <c r="E13" s="22"/>
    </row>
    <row r="14" spans="1:9" x14ac:dyDescent="0.75">
      <c r="A14" s="34" t="s">
        <v>77</v>
      </c>
      <c r="B14" s="31"/>
      <c r="C14" s="48" t="s">
        <v>76</v>
      </c>
      <c r="D14" s="48" t="s">
        <v>76</v>
      </c>
      <c r="E14" s="22"/>
    </row>
    <row r="15" spans="1:9" x14ac:dyDescent="0.75">
      <c r="A15" s="34" t="s">
        <v>75</v>
      </c>
      <c r="B15" s="31"/>
      <c r="C15" s="48">
        <f>650/12</f>
        <v>54.166666666666664</v>
      </c>
      <c r="D15" s="48" t="s">
        <v>72</v>
      </c>
      <c r="E15" s="22"/>
    </row>
    <row r="16" spans="1:9" x14ac:dyDescent="0.75">
      <c r="A16" s="34" t="s">
        <v>74</v>
      </c>
      <c r="B16" s="31"/>
      <c r="C16" s="48" t="s">
        <v>72</v>
      </c>
      <c r="D16" s="48" t="s">
        <v>72</v>
      </c>
      <c r="E16" s="22"/>
    </row>
    <row r="17" spans="1:15" x14ac:dyDescent="0.75">
      <c r="A17" s="34" t="s">
        <v>73</v>
      </c>
      <c r="B17" s="31"/>
      <c r="C17" s="48" t="s">
        <v>72</v>
      </c>
      <c r="D17" s="48" t="s">
        <v>72</v>
      </c>
      <c r="E17" s="22"/>
    </row>
    <row r="18" spans="1:15" x14ac:dyDescent="0.75">
      <c r="A18" s="34" t="s">
        <v>71</v>
      </c>
      <c r="B18" s="35" t="s">
        <v>70</v>
      </c>
      <c r="C18" s="47">
        <f>C2*0.11</f>
        <v>275</v>
      </c>
      <c r="D18" s="23">
        <f>C18*12</f>
        <v>3300</v>
      </c>
      <c r="E18" s="22"/>
    </row>
    <row r="19" spans="1:15" ht="15.5" thickBot="1" x14ac:dyDescent="0.9">
      <c r="A19" s="46" t="s">
        <v>69</v>
      </c>
      <c r="B19" s="25"/>
      <c r="C19" s="45">
        <f>C2-SUM(C3:C18)</f>
        <v>-564.91571293870493</v>
      </c>
      <c r="D19" s="44">
        <f>C19*12</f>
        <v>-6778.9885552644591</v>
      </c>
      <c r="E19" s="22"/>
    </row>
    <row r="20" spans="1:15" x14ac:dyDescent="0.75">
      <c r="A20" s="43"/>
      <c r="B20" s="42"/>
      <c r="C20" s="41"/>
      <c r="D20" s="40"/>
      <c r="E20" s="22"/>
    </row>
    <row r="21" spans="1:15" ht="15.5" thickBot="1" x14ac:dyDescent="0.9">
      <c r="A21" s="39" t="s">
        <v>68</v>
      </c>
      <c r="B21" s="28"/>
      <c r="C21" s="27"/>
      <c r="D21" s="23"/>
      <c r="E21" s="22"/>
    </row>
    <row r="22" spans="1:15" x14ac:dyDescent="0.75">
      <c r="A22" s="38" t="s">
        <v>67</v>
      </c>
      <c r="B22" s="37" t="s">
        <v>66</v>
      </c>
      <c r="C22" s="36">
        <v>5000</v>
      </c>
      <c r="D22" s="23"/>
      <c r="E22" s="22"/>
    </row>
    <row r="23" spans="1:15" x14ac:dyDescent="0.75">
      <c r="A23" s="34" t="s">
        <v>65</v>
      </c>
      <c r="B23" s="35" t="s">
        <v>64</v>
      </c>
      <c r="C23" s="33">
        <f>C22*0.07</f>
        <v>350.00000000000006</v>
      </c>
      <c r="D23" s="23"/>
      <c r="E23" s="22"/>
    </row>
    <row r="24" spans="1:15" x14ac:dyDescent="0.75">
      <c r="A24" s="34" t="s">
        <v>63</v>
      </c>
      <c r="B24" s="31" t="s">
        <v>62</v>
      </c>
      <c r="C24" s="33">
        <v>5000</v>
      </c>
      <c r="D24" s="23"/>
      <c r="E24" s="22"/>
    </row>
    <row r="25" spans="1:15" x14ac:dyDescent="0.75">
      <c r="A25" s="32" t="s">
        <v>61</v>
      </c>
      <c r="B25" s="31"/>
      <c r="C25" s="30">
        <f>SUM(C22:C24)</f>
        <v>10350</v>
      </c>
      <c r="D25" s="23"/>
      <c r="E25" s="22"/>
    </row>
    <row r="26" spans="1:15" x14ac:dyDescent="0.75">
      <c r="A26" s="29"/>
      <c r="B26" s="28"/>
      <c r="C26" s="27"/>
      <c r="D26" s="23"/>
      <c r="E26" s="22"/>
    </row>
    <row r="27" spans="1:15" ht="15.5" thickBot="1" x14ac:dyDescent="0.9">
      <c r="A27" s="26" t="s">
        <v>60</v>
      </c>
      <c r="B27" s="25"/>
      <c r="C27" s="24">
        <f>C25+G4</f>
        <v>310350</v>
      </c>
      <c r="D27" s="23"/>
      <c r="E27" s="22"/>
    </row>
    <row r="28" spans="1:15" ht="15.5" thickBot="1" x14ac:dyDescent="0.9">
      <c r="A28" s="21" t="s">
        <v>59</v>
      </c>
      <c r="B28" s="20" t="s">
        <v>54</v>
      </c>
      <c r="C28" s="12">
        <f>(D19/C25)</f>
        <v>-0.65497473963907815</v>
      </c>
      <c r="D28" s="11"/>
      <c r="E28" s="10"/>
      <c r="F28" s="68" t="s">
        <v>58</v>
      </c>
      <c r="G28" s="68"/>
      <c r="H28" s="68"/>
      <c r="I28" s="68"/>
      <c r="J28" s="68"/>
      <c r="K28" s="68"/>
      <c r="L28" s="68"/>
      <c r="M28" s="68"/>
      <c r="N28" s="68"/>
      <c r="O28" s="69"/>
    </row>
    <row r="29" spans="1:15" ht="15.5" thickBot="1" x14ac:dyDescent="0.9">
      <c r="A29" s="19" t="s">
        <v>57</v>
      </c>
      <c r="B29" s="16" t="s">
        <v>54</v>
      </c>
      <c r="C29" s="12">
        <f>(D19+D18)/C25</f>
        <v>-0.33613415992893325</v>
      </c>
      <c r="D29" s="11"/>
      <c r="E29" s="10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.5" thickBot="1" x14ac:dyDescent="0.9">
      <c r="A30" s="17" t="s">
        <v>56</v>
      </c>
      <c r="B30" s="16" t="s">
        <v>54</v>
      </c>
      <c r="C30" s="15">
        <f>(D19+(0.04*G4))/C25</f>
        <v>0.50444555021599424</v>
      </c>
      <c r="D30" s="11"/>
      <c r="E30" s="10"/>
    </row>
    <row r="31" spans="1:15" ht="15.5" thickBot="1" x14ac:dyDescent="0.9">
      <c r="A31" s="14" t="s">
        <v>55</v>
      </c>
      <c r="B31" s="13" t="s">
        <v>54</v>
      </c>
      <c r="C31" s="12">
        <f>(((C19+H7+C18)*12)/C25)</f>
        <v>0.63004941495029376</v>
      </c>
      <c r="D31" s="11"/>
      <c r="E31" s="10"/>
    </row>
  </sheetData>
  <mergeCells count="2">
    <mergeCell ref="F1:H1"/>
    <mergeCell ref="F28:O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Stacking Bread</vt:lpstr>
      <vt:lpstr>Sheet1</vt:lpstr>
      <vt:lpstr>Rental House Quick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Moss, Ian C. CPT</dc:creator>
  <cp:lastModifiedBy>Ian Moss</cp:lastModifiedBy>
  <dcterms:created xsi:type="dcterms:W3CDTF">2023-04-24T15:57:59Z</dcterms:created>
  <dcterms:modified xsi:type="dcterms:W3CDTF">2026-01-22T20:17:30Z</dcterms:modified>
</cp:coreProperties>
</file>